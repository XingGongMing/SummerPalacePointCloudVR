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B6E386AC-F0DF-4558-A103-0910A308CBDC}" xr6:coauthVersionLast="47" xr6:coauthVersionMax="47" xr10:uidLastSave="{00000000-0000-0000-0000-000000000000}"/>
  <bookViews>
    <workbookView xWindow="-98" yWindow="-98" windowWidth="16395" windowHeight="9601" activeTab="1" xr2:uid="{00000000-000D-0000-FFFF-FFFF00000000}"/>
  </bookViews>
  <sheets>
    <sheet name="Pre_30" sheetId="2" r:id="rId1"/>
    <sheet name="Post_59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" i="2" l="1"/>
  <c r="Z25" i="2"/>
  <c r="AE60" i="3"/>
  <c r="AD60" i="3"/>
  <c r="AC60" i="3"/>
  <c r="AB60" i="3"/>
  <c r="AA60" i="3"/>
  <c r="AI60" i="3" s="1"/>
  <c r="Z60" i="3"/>
  <c r="AH60" i="3" s="1"/>
  <c r="Y60" i="3"/>
  <c r="AG60" i="3" s="1"/>
  <c r="X60" i="3"/>
  <c r="AF60" i="3" s="1"/>
  <c r="AE59" i="3"/>
  <c r="AD59" i="3"/>
  <c r="AC59" i="3"/>
  <c r="AB59" i="3"/>
  <c r="AA59" i="3"/>
  <c r="AI59" i="3" s="1"/>
  <c r="Z59" i="3"/>
  <c r="AH59" i="3" s="1"/>
  <c r="Y59" i="3"/>
  <c r="AG59" i="3" s="1"/>
  <c r="X59" i="3"/>
  <c r="AF59" i="3" s="1"/>
  <c r="AE58" i="3"/>
  <c r="AD58" i="3"/>
  <c r="AC58" i="3"/>
  <c r="AB58" i="3"/>
  <c r="AA58" i="3"/>
  <c r="AI58" i="3" s="1"/>
  <c r="Z58" i="3"/>
  <c r="AH58" i="3" s="1"/>
  <c r="Y58" i="3"/>
  <c r="AG58" i="3" s="1"/>
  <c r="X58" i="3"/>
  <c r="AF58" i="3" s="1"/>
  <c r="AE57" i="3"/>
  <c r="AD57" i="3"/>
  <c r="AC57" i="3"/>
  <c r="AB57" i="3"/>
  <c r="AA57" i="3"/>
  <c r="AI57" i="3" s="1"/>
  <c r="Z57" i="3"/>
  <c r="AH57" i="3" s="1"/>
  <c r="Y57" i="3"/>
  <c r="AG57" i="3" s="1"/>
  <c r="X57" i="3"/>
  <c r="AF57" i="3" s="1"/>
  <c r="AE56" i="3"/>
  <c r="AD56" i="3"/>
  <c r="AC56" i="3"/>
  <c r="AB56" i="3"/>
  <c r="AA56" i="3"/>
  <c r="AI56" i="3" s="1"/>
  <c r="Z56" i="3"/>
  <c r="AH56" i="3" s="1"/>
  <c r="Y56" i="3"/>
  <c r="AG56" i="3" s="1"/>
  <c r="X56" i="3"/>
  <c r="AF56" i="3" s="1"/>
  <c r="AE55" i="3"/>
  <c r="AD55" i="3"/>
  <c r="AC55" i="3"/>
  <c r="AB55" i="3"/>
  <c r="AA55" i="3"/>
  <c r="AI55" i="3" s="1"/>
  <c r="Z55" i="3"/>
  <c r="AH55" i="3" s="1"/>
  <c r="Y55" i="3"/>
  <c r="AG55" i="3" s="1"/>
  <c r="X55" i="3"/>
  <c r="AF55" i="3" s="1"/>
  <c r="AE54" i="3"/>
  <c r="AD54" i="3"/>
  <c r="AC54" i="3"/>
  <c r="AB54" i="3"/>
  <c r="AA54" i="3"/>
  <c r="AI54" i="3" s="1"/>
  <c r="Z54" i="3"/>
  <c r="AH54" i="3" s="1"/>
  <c r="Y54" i="3"/>
  <c r="AG54" i="3" s="1"/>
  <c r="X54" i="3"/>
  <c r="AF54" i="3" s="1"/>
  <c r="AE53" i="3"/>
  <c r="AD53" i="3"/>
  <c r="AC53" i="3"/>
  <c r="AB53" i="3"/>
  <c r="AA53" i="3"/>
  <c r="AI53" i="3" s="1"/>
  <c r="Z53" i="3"/>
  <c r="AH53" i="3" s="1"/>
  <c r="Y53" i="3"/>
  <c r="AG53" i="3" s="1"/>
  <c r="X53" i="3"/>
  <c r="AF53" i="3" s="1"/>
  <c r="AE52" i="3"/>
  <c r="AD52" i="3"/>
  <c r="AC52" i="3"/>
  <c r="AB52" i="3"/>
  <c r="AA52" i="3"/>
  <c r="AI52" i="3" s="1"/>
  <c r="Z52" i="3"/>
  <c r="AH52" i="3" s="1"/>
  <c r="Y52" i="3"/>
  <c r="AG52" i="3" s="1"/>
  <c r="X52" i="3"/>
  <c r="AF52" i="3" s="1"/>
  <c r="AE51" i="3"/>
  <c r="AD51" i="3"/>
  <c r="AC51" i="3"/>
  <c r="AB51" i="3"/>
  <c r="AA51" i="3"/>
  <c r="AI51" i="3" s="1"/>
  <c r="Z51" i="3"/>
  <c r="AH51" i="3" s="1"/>
  <c r="Y51" i="3"/>
  <c r="AG51" i="3" s="1"/>
  <c r="X51" i="3"/>
  <c r="AF51" i="3" s="1"/>
  <c r="AE50" i="3"/>
  <c r="AD50" i="3"/>
  <c r="AC50" i="3"/>
  <c r="AB50" i="3"/>
  <c r="AA50" i="3"/>
  <c r="AI50" i="3" s="1"/>
  <c r="Z50" i="3"/>
  <c r="AH50" i="3" s="1"/>
  <c r="Y50" i="3"/>
  <c r="AG50" i="3" s="1"/>
  <c r="X50" i="3"/>
  <c r="AF50" i="3" s="1"/>
  <c r="AE49" i="3"/>
  <c r="AD49" i="3"/>
  <c r="AC49" i="3"/>
  <c r="AB49" i="3"/>
  <c r="AA49" i="3"/>
  <c r="AI49" i="3" s="1"/>
  <c r="Z49" i="3"/>
  <c r="AH49" i="3" s="1"/>
  <c r="Y49" i="3"/>
  <c r="AG49" i="3" s="1"/>
  <c r="X49" i="3"/>
  <c r="AF49" i="3" s="1"/>
  <c r="AE48" i="3"/>
  <c r="AD48" i="3"/>
  <c r="AC48" i="3"/>
  <c r="AB48" i="3"/>
  <c r="AA48" i="3"/>
  <c r="AI48" i="3" s="1"/>
  <c r="Z48" i="3"/>
  <c r="AH48" i="3" s="1"/>
  <c r="Y48" i="3"/>
  <c r="AG48" i="3" s="1"/>
  <c r="X48" i="3"/>
  <c r="AF48" i="3" s="1"/>
  <c r="AE47" i="3"/>
  <c r="AD47" i="3"/>
  <c r="AC47" i="3"/>
  <c r="AB47" i="3"/>
  <c r="AA47" i="3"/>
  <c r="AI47" i="3" s="1"/>
  <c r="Z47" i="3"/>
  <c r="AH47" i="3" s="1"/>
  <c r="Y47" i="3"/>
  <c r="AG47" i="3" s="1"/>
  <c r="X47" i="3"/>
  <c r="AF47" i="3" s="1"/>
  <c r="AE46" i="3"/>
  <c r="AD46" i="3"/>
  <c r="AC46" i="3"/>
  <c r="AB46" i="3"/>
  <c r="AA46" i="3"/>
  <c r="AI46" i="3" s="1"/>
  <c r="Z46" i="3"/>
  <c r="AH46" i="3" s="1"/>
  <c r="Y46" i="3"/>
  <c r="AG46" i="3" s="1"/>
  <c r="X46" i="3"/>
  <c r="AF46" i="3" s="1"/>
  <c r="AE45" i="3"/>
  <c r="AD45" i="3"/>
  <c r="AC45" i="3"/>
  <c r="AB45" i="3"/>
  <c r="AA45" i="3"/>
  <c r="AI45" i="3" s="1"/>
  <c r="Z45" i="3"/>
  <c r="AH45" i="3" s="1"/>
  <c r="Y45" i="3"/>
  <c r="AG45" i="3" s="1"/>
  <c r="X45" i="3"/>
  <c r="AF45" i="3" s="1"/>
  <c r="AE44" i="3"/>
  <c r="AD44" i="3"/>
  <c r="AC44" i="3"/>
  <c r="AB44" i="3"/>
  <c r="AA44" i="3"/>
  <c r="AI44" i="3" s="1"/>
  <c r="Z44" i="3"/>
  <c r="AH44" i="3" s="1"/>
  <c r="Y44" i="3"/>
  <c r="AG44" i="3" s="1"/>
  <c r="X44" i="3"/>
  <c r="AF44" i="3" s="1"/>
  <c r="AE43" i="3"/>
  <c r="AD43" i="3"/>
  <c r="AC43" i="3"/>
  <c r="AB43" i="3"/>
  <c r="AA43" i="3"/>
  <c r="AI43" i="3" s="1"/>
  <c r="Z43" i="3"/>
  <c r="AH43" i="3" s="1"/>
  <c r="Y43" i="3"/>
  <c r="AG43" i="3" s="1"/>
  <c r="X43" i="3"/>
  <c r="AF43" i="3" s="1"/>
  <c r="AE42" i="3"/>
  <c r="AD42" i="3"/>
  <c r="AC42" i="3"/>
  <c r="AB42" i="3"/>
  <c r="AA42" i="3"/>
  <c r="AI42" i="3" s="1"/>
  <c r="Z42" i="3"/>
  <c r="AH42" i="3" s="1"/>
  <c r="Y42" i="3"/>
  <c r="AG42" i="3" s="1"/>
  <c r="X42" i="3"/>
  <c r="AF42" i="3" s="1"/>
  <c r="AE41" i="3"/>
  <c r="AD41" i="3"/>
  <c r="AC41" i="3"/>
  <c r="AB41" i="3"/>
  <c r="AA41" i="3"/>
  <c r="AI41" i="3" s="1"/>
  <c r="Z41" i="3"/>
  <c r="AH41" i="3" s="1"/>
  <c r="Y41" i="3"/>
  <c r="AG41" i="3" s="1"/>
  <c r="X41" i="3"/>
  <c r="AF41" i="3" s="1"/>
  <c r="AE40" i="3"/>
  <c r="AD40" i="3"/>
  <c r="AC40" i="3"/>
  <c r="AB40" i="3"/>
  <c r="AA40" i="3"/>
  <c r="AI40" i="3" s="1"/>
  <c r="Z40" i="3"/>
  <c r="AH40" i="3" s="1"/>
  <c r="Y40" i="3"/>
  <c r="AG40" i="3" s="1"/>
  <c r="X40" i="3"/>
  <c r="AF40" i="3" s="1"/>
  <c r="AE39" i="3"/>
  <c r="AD39" i="3"/>
  <c r="AC39" i="3"/>
  <c r="AB39" i="3"/>
  <c r="AA39" i="3"/>
  <c r="AI39" i="3" s="1"/>
  <c r="Z39" i="3"/>
  <c r="AH39" i="3" s="1"/>
  <c r="Y39" i="3"/>
  <c r="AG39" i="3" s="1"/>
  <c r="X39" i="3"/>
  <c r="AF39" i="3" s="1"/>
  <c r="AE38" i="3"/>
  <c r="AD38" i="3"/>
  <c r="AC38" i="3"/>
  <c r="AB38" i="3"/>
  <c r="AA38" i="3"/>
  <c r="AI38" i="3" s="1"/>
  <c r="Z38" i="3"/>
  <c r="AH38" i="3" s="1"/>
  <c r="Y38" i="3"/>
  <c r="AG38" i="3" s="1"/>
  <c r="X38" i="3"/>
  <c r="AF38" i="3" s="1"/>
  <c r="AE37" i="3"/>
  <c r="AD37" i="3"/>
  <c r="AC37" i="3"/>
  <c r="AB37" i="3"/>
  <c r="AA37" i="3"/>
  <c r="AI37" i="3" s="1"/>
  <c r="Z37" i="3"/>
  <c r="AH37" i="3" s="1"/>
  <c r="Y37" i="3"/>
  <c r="AG37" i="3" s="1"/>
  <c r="X37" i="3"/>
  <c r="AF37" i="3" s="1"/>
  <c r="AE36" i="3"/>
  <c r="AD36" i="3"/>
  <c r="AC36" i="3"/>
  <c r="AB36" i="3"/>
  <c r="AA36" i="3"/>
  <c r="AI36" i="3" s="1"/>
  <c r="Z36" i="3"/>
  <c r="AH36" i="3" s="1"/>
  <c r="Y36" i="3"/>
  <c r="AG36" i="3" s="1"/>
  <c r="X36" i="3"/>
  <c r="AF36" i="3" s="1"/>
  <c r="AE35" i="3"/>
  <c r="AD35" i="3"/>
  <c r="AC35" i="3"/>
  <c r="AB35" i="3"/>
  <c r="AA35" i="3"/>
  <c r="AI35" i="3" s="1"/>
  <c r="Z35" i="3"/>
  <c r="AH35" i="3" s="1"/>
  <c r="Y35" i="3"/>
  <c r="AG35" i="3" s="1"/>
  <c r="X35" i="3"/>
  <c r="AF35" i="3" s="1"/>
  <c r="AE34" i="3"/>
  <c r="AD34" i="3"/>
  <c r="AC34" i="3"/>
  <c r="AB34" i="3"/>
  <c r="AA34" i="3"/>
  <c r="AI34" i="3" s="1"/>
  <c r="Z34" i="3"/>
  <c r="AH34" i="3" s="1"/>
  <c r="Y34" i="3"/>
  <c r="AG34" i="3" s="1"/>
  <c r="X34" i="3"/>
  <c r="AF34" i="3" s="1"/>
  <c r="AE33" i="3"/>
  <c r="AD33" i="3"/>
  <c r="AC33" i="3"/>
  <c r="AB33" i="3"/>
  <c r="AA33" i="3"/>
  <c r="AI33" i="3" s="1"/>
  <c r="Z33" i="3"/>
  <c r="AH33" i="3" s="1"/>
  <c r="Y33" i="3"/>
  <c r="AG33" i="3" s="1"/>
  <c r="X33" i="3"/>
  <c r="AF33" i="3" s="1"/>
  <c r="AE32" i="3"/>
  <c r="AD32" i="3"/>
  <c r="AC32" i="3"/>
  <c r="AB32" i="3"/>
  <c r="AA32" i="3"/>
  <c r="AI32" i="3" s="1"/>
  <c r="Z32" i="3"/>
  <c r="AH32" i="3" s="1"/>
  <c r="Y32" i="3"/>
  <c r="AG32" i="3" s="1"/>
  <c r="X32" i="3"/>
  <c r="AF32" i="3" s="1"/>
  <c r="AE31" i="3"/>
  <c r="AD31" i="3"/>
  <c r="AC31" i="3"/>
  <c r="AB31" i="3"/>
  <c r="AA31" i="3"/>
  <c r="AI31" i="3" s="1"/>
  <c r="Z31" i="3"/>
  <c r="AH31" i="3" s="1"/>
  <c r="Y31" i="3"/>
  <c r="AG31" i="3" s="1"/>
  <c r="X31" i="3"/>
  <c r="AF31" i="3" s="1"/>
  <c r="AE30" i="3"/>
  <c r="AD30" i="3"/>
  <c r="AC30" i="3"/>
  <c r="AB30" i="3"/>
  <c r="AA30" i="3"/>
  <c r="AI30" i="3" s="1"/>
  <c r="Z30" i="3"/>
  <c r="AH30" i="3" s="1"/>
  <c r="Y30" i="3"/>
  <c r="AG30" i="3" s="1"/>
  <c r="X30" i="3"/>
  <c r="AF30" i="3" s="1"/>
  <c r="AE29" i="3"/>
  <c r="AD29" i="3"/>
  <c r="AC29" i="3"/>
  <c r="AB29" i="3"/>
  <c r="AA29" i="3"/>
  <c r="AI29" i="3" s="1"/>
  <c r="Z29" i="3"/>
  <c r="AH29" i="3" s="1"/>
  <c r="Y29" i="3"/>
  <c r="AG29" i="3" s="1"/>
  <c r="X29" i="3"/>
  <c r="AF29" i="3" s="1"/>
  <c r="AE28" i="3"/>
  <c r="AD28" i="3"/>
  <c r="AC28" i="3"/>
  <c r="AB28" i="3"/>
  <c r="AA28" i="3"/>
  <c r="AI28" i="3" s="1"/>
  <c r="Z28" i="3"/>
  <c r="AH28" i="3" s="1"/>
  <c r="Y28" i="3"/>
  <c r="AG28" i="3" s="1"/>
  <c r="X28" i="3"/>
  <c r="AF28" i="3" s="1"/>
  <c r="AE27" i="3"/>
  <c r="AD27" i="3"/>
  <c r="AC27" i="3"/>
  <c r="AB27" i="3"/>
  <c r="AA27" i="3"/>
  <c r="AI27" i="3" s="1"/>
  <c r="Z27" i="3"/>
  <c r="AH27" i="3" s="1"/>
  <c r="Y27" i="3"/>
  <c r="AG27" i="3" s="1"/>
  <c r="X27" i="3"/>
  <c r="AF27" i="3" s="1"/>
  <c r="AE26" i="3"/>
  <c r="AD26" i="3"/>
  <c r="AC26" i="3"/>
  <c r="AB26" i="3"/>
  <c r="AA26" i="3"/>
  <c r="AI26" i="3" s="1"/>
  <c r="Z26" i="3"/>
  <c r="AH26" i="3" s="1"/>
  <c r="Y26" i="3"/>
  <c r="AG26" i="3" s="1"/>
  <c r="X26" i="3"/>
  <c r="AF26" i="3" s="1"/>
  <c r="AE25" i="3"/>
  <c r="AD25" i="3"/>
  <c r="AC25" i="3"/>
  <c r="AB25" i="3"/>
  <c r="AA25" i="3"/>
  <c r="AI25" i="3" s="1"/>
  <c r="Z25" i="3"/>
  <c r="AH25" i="3" s="1"/>
  <c r="Y25" i="3"/>
  <c r="AG25" i="3" s="1"/>
  <c r="X25" i="3"/>
  <c r="AF25" i="3" s="1"/>
  <c r="AE24" i="3"/>
  <c r="AD24" i="3"/>
  <c r="AC24" i="3"/>
  <c r="AB24" i="3"/>
  <c r="AA24" i="3"/>
  <c r="AI24" i="3" s="1"/>
  <c r="Z24" i="3"/>
  <c r="AH24" i="3" s="1"/>
  <c r="Y24" i="3"/>
  <c r="AG24" i="3" s="1"/>
  <c r="X24" i="3"/>
  <c r="AF24" i="3" s="1"/>
  <c r="AE23" i="3"/>
  <c r="AD23" i="3"/>
  <c r="AC23" i="3"/>
  <c r="AB23" i="3"/>
  <c r="AA23" i="3"/>
  <c r="AI23" i="3" s="1"/>
  <c r="Z23" i="3"/>
  <c r="AH23" i="3" s="1"/>
  <c r="Y23" i="3"/>
  <c r="AG23" i="3" s="1"/>
  <c r="X23" i="3"/>
  <c r="AF23" i="3" s="1"/>
  <c r="AE22" i="3"/>
  <c r="AD22" i="3"/>
  <c r="AC22" i="3"/>
  <c r="AB22" i="3"/>
  <c r="AA22" i="3"/>
  <c r="AI22" i="3" s="1"/>
  <c r="Z22" i="3"/>
  <c r="AH22" i="3" s="1"/>
  <c r="Y22" i="3"/>
  <c r="AG22" i="3" s="1"/>
  <c r="X22" i="3"/>
  <c r="AF22" i="3" s="1"/>
  <c r="AE21" i="3"/>
  <c r="AD21" i="3"/>
  <c r="AC21" i="3"/>
  <c r="AB21" i="3"/>
  <c r="AA21" i="3"/>
  <c r="AI21" i="3" s="1"/>
  <c r="Z21" i="3"/>
  <c r="AH21" i="3" s="1"/>
  <c r="Y21" i="3"/>
  <c r="AG21" i="3" s="1"/>
  <c r="X21" i="3"/>
  <c r="AF21" i="3" s="1"/>
  <c r="AE20" i="3"/>
  <c r="AD20" i="3"/>
  <c r="AC20" i="3"/>
  <c r="AB20" i="3"/>
  <c r="AA20" i="3"/>
  <c r="AI20" i="3" s="1"/>
  <c r="Z20" i="3"/>
  <c r="AH20" i="3" s="1"/>
  <c r="Y20" i="3"/>
  <c r="AG20" i="3" s="1"/>
  <c r="X20" i="3"/>
  <c r="AF20" i="3" s="1"/>
  <c r="AE19" i="3"/>
  <c r="AD19" i="3"/>
  <c r="AC19" i="3"/>
  <c r="AB19" i="3"/>
  <c r="AA19" i="3"/>
  <c r="AI19" i="3" s="1"/>
  <c r="Z19" i="3"/>
  <c r="AH19" i="3" s="1"/>
  <c r="Y19" i="3"/>
  <c r="AG19" i="3" s="1"/>
  <c r="X19" i="3"/>
  <c r="AF19" i="3" s="1"/>
  <c r="AG18" i="3"/>
  <c r="AF18" i="3"/>
  <c r="AE18" i="3"/>
  <c r="AD18" i="3"/>
  <c r="AC18" i="3"/>
  <c r="AB18" i="3"/>
  <c r="AA18" i="3"/>
  <c r="AI18" i="3" s="1"/>
  <c r="Z18" i="3"/>
  <c r="AH18" i="3" s="1"/>
  <c r="Y18" i="3"/>
  <c r="X18" i="3"/>
  <c r="AE17" i="3"/>
  <c r="AD17" i="3"/>
  <c r="AC17" i="3"/>
  <c r="AB17" i="3"/>
  <c r="AA17" i="3"/>
  <c r="AI17" i="3" s="1"/>
  <c r="Z17" i="3"/>
  <c r="AH17" i="3" s="1"/>
  <c r="Y17" i="3"/>
  <c r="AG17" i="3" s="1"/>
  <c r="X17" i="3"/>
  <c r="AF17" i="3" s="1"/>
  <c r="AI16" i="3"/>
  <c r="AE16" i="3"/>
  <c r="AD16" i="3"/>
  <c r="AC16" i="3"/>
  <c r="AB16" i="3"/>
  <c r="AA16" i="3"/>
  <c r="Z16" i="3"/>
  <c r="AH16" i="3" s="1"/>
  <c r="Y16" i="3"/>
  <c r="AG16" i="3" s="1"/>
  <c r="X16" i="3"/>
  <c r="AF16" i="3" s="1"/>
  <c r="AE15" i="3"/>
  <c r="AD15" i="3"/>
  <c r="AC15" i="3"/>
  <c r="AB15" i="3"/>
  <c r="AA15" i="3"/>
  <c r="AI15" i="3" s="1"/>
  <c r="Z15" i="3"/>
  <c r="AH15" i="3" s="1"/>
  <c r="Y15" i="3"/>
  <c r="AG15" i="3" s="1"/>
  <c r="X15" i="3"/>
  <c r="AF15" i="3" s="1"/>
  <c r="AE14" i="3"/>
  <c r="AD14" i="3"/>
  <c r="AC14" i="3"/>
  <c r="AB14" i="3"/>
  <c r="AA14" i="3"/>
  <c r="AI14" i="3" s="1"/>
  <c r="Z14" i="3"/>
  <c r="AH14" i="3" s="1"/>
  <c r="Y14" i="3"/>
  <c r="AG14" i="3" s="1"/>
  <c r="X14" i="3"/>
  <c r="AF14" i="3" s="1"/>
  <c r="AE13" i="3"/>
  <c r="AD13" i="3"/>
  <c r="AC13" i="3"/>
  <c r="AB13" i="3"/>
  <c r="AA13" i="3"/>
  <c r="AI13" i="3" s="1"/>
  <c r="Z13" i="3"/>
  <c r="AH13" i="3" s="1"/>
  <c r="Y13" i="3"/>
  <c r="AG13" i="3" s="1"/>
  <c r="X13" i="3"/>
  <c r="AF13" i="3" s="1"/>
  <c r="AE12" i="3"/>
  <c r="AD12" i="3"/>
  <c r="AC12" i="3"/>
  <c r="AB12" i="3"/>
  <c r="AA12" i="3"/>
  <c r="AI12" i="3" s="1"/>
  <c r="Z12" i="3"/>
  <c r="AH12" i="3" s="1"/>
  <c r="Y12" i="3"/>
  <c r="AG12" i="3" s="1"/>
  <c r="X12" i="3"/>
  <c r="AF12" i="3" s="1"/>
  <c r="AE11" i="3"/>
  <c r="AD11" i="3"/>
  <c r="AC11" i="3"/>
  <c r="AB11" i="3"/>
  <c r="AA11" i="3"/>
  <c r="AI11" i="3" s="1"/>
  <c r="Z11" i="3"/>
  <c r="AH11" i="3" s="1"/>
  <c r="Y11" i="3"/>
  <c r="AG11" i="3" s="1"/>
  <c r="X11" i="3"/>
  <c r="AF11" i="3" s="1"/>
  <c r="AE10" i="3"/>
  <c r="AD10" i="3"/>
  <c r="AC10" i="3"/>
  <c r="AB10" i="3"/>
  <c r="AA10" i="3"/>
  <c r="AI10" i="3" s="1"/>
  <c r="Z10" i="3"/>
  <c r="AH10" i="3" s="1"/>
  <c r="Y10" i="3"/>
  <c r="AG10" i="3" s="1"/>
  <c r="X10" i="3"/>
  <c r="AF10" i="3" s="1"/>
  <c r="AE9" i="3"/>
  <c r="AD9" i="3"/>
  <c r="AC9" i="3"/>
  <c r="AB9" i="3"/>
  <c r="AA9" i="3"/>
  <c r="AI9" i="3" s="1"/>
  <c r="Z9" i="3"/>
  <c r="AH9" i="3" s="1"/>
  <c r="Y9" i="3"/>
  <c r="AG9" i="3" s="1"/>
  <c r="X9" i="3"/>
  <c r="AF9" i="3" s="1"/>
  <c r="AE8" i="3"/>
  <c r="AD8" i="3"/>
  <c r="AC8" i="3"/>
  <c r="AB8" i="3"/>
  <c r="AA8" i="3"/>
  <c r="AI8" i="3" s="1"/>
  <c r="Z8" i="3"/>
  <c r="AH8" i="3" s="1"/>
  <c r="Y8" i="3"/>
  <c r="AG8" i="3" s="1"/>
  <c r="X8" i="3"/>
  <c r="AF8" i="3" s="1"/>
  <c r="AE7" i="3"/>
  <c r="AD7" i="3"/>
  <c r="AC7" i="3"/>
  <c r="AB7" i="3"/>
  <c r="AA7" i="3"/>
  <c r="AI7" i="3" s="1"/>
  <c r="Z7" i="3"/>
  <c r="AH7" i="3" s="1"/>
  <c r="Y7" i="3"/>
  <c r="AG7" i="3" s="1"/>
  <c r="X7" i="3"/>
  <c r="AF7" i="3" s="1"/>
  <c r="AE6" i="3"/>
  <c r="AD6" i="3"/>
  <c r="AC6" i="3"/>
  <c r="AB6" i="3"/>
  <c r="AA6" i="3"/>
  <c r="AI6" i="3" s="1"/>
  <c r="Z6" i="3"/>
  <c r="AH6" i="3" s="1"/>
  <c r="Y6" i="3"/>
  <c r="AG6" i="3" s="1"/>
  <c r="X6" i="3"/>
  <c r="AF6" i="3" s="1"/>
  <c r="AE5" i="3"/>
  <c r="AD5" i="3"/>
  <c r="AC5" i="3"/>
  <c r="AB5" i="3"/>
  <c r="AA5" i="3"/>
  <c r="AI5" i="3" s="1"/>
  <c r="Z5" i="3"/>
  <c r="AH5" i="3" s="1"/>
  <c r="Y5" i="3"/>
  <c r="AG5" i="3" s="1"/>
  <c r="X5" i="3"/>
  <c r="AF5" i="3" s="1"/>
  <c r="AE4" i="3"/>
  <c r="AD4" i="3"/>
  <c r="AC4" i="3"/>
  <c r="AB4" i="3"/>
  <c r="AA4" i="3"/>
  <c r="AI4" i="3" s="1"/>
  <c r="Z4" i="3"/>
  <c r="AH4" i="3" s="1"/>
  <c r="Y4" i="3"/>
  <c r="AG4" i="3" s="1"/>
  <c r="X4" i="3"/>
  <c r="AF4" i="3" s="1"/>
  <c r="AE3" i="3"/>
  <c r="AD3" i="3"/>
  <c r="AC3" i="3"/>
  <c r="AB3" i="3"/>
  <c r="AA3" i="3"/>
  <c r="AI3" i="3" s="1"/>
  <c r="Z3" i="3"/>
  <c r="AH3" i="3" s="1"/>
  <c r="Y3" i="3"/>
  <c r="AG3" i="3" s="1"/>
  <c r="X3" i="3"/>
  <c r="AF3" i="3" s="1"/>
  <c r="AE2" i="3"/>
  <c r="AD2" i="3"/>
  <c r="AC2" i="3"/>
  <c r="AB2" i="3"/>
  <c r="AA2" i="3"/>
  <c r="Z2" i="3"/>
  <c r="AH2" i="3" s="1"/>
  <c r="Y2" i="3"/>
  <c r="AG2" i="3" s="1"/>
  <c r="X2" i="3"/>
  <c r="AF2" i="3" s="1"/>
  <c r="AC32" i="2"/>
  <c r="AB32" i="2"/>
  <c r="AA32" i="2"/>
  <c r="W32" i="2"/>
  <c r="V32" i="2"/>
  <c r="U32" i="2"/>
  <c r="AC31" i="2"/>
  <c r="AB31" i="2"/>
  <c r="AA31" i="2"/>
  <c r="W31" i="2"/>
  <c r="V31" i="2"/>
  <c r="U31" i="2"/>
  <c r="AC30" i="2"/>
  <c r="AB30" i="2"/>
  <c r="AA30" i="2"/>
  <c r="W30" i="2"/>
  <c r="V30" i="2"/>
  <c r="U30" i="2"/>
  <c r="AC29" i="2"/>
  <c r="AB29" i="2"/>
  <c r="AA29" i="2"/>
  <c r="W29" i="2"/>
  <c r="V29" i="2"/>
  <c r="U29" i="2"/>
  <c r="AC28" i="2"/>
  <c r="AB28" i="2"/>
  <c r="AA28" i="2"/>
  <c r="W28" i="2"/>
  <c r="V28" i="2"/>
  <c r="U28" i="2"/>
  <c r="AC27" i="2"/>
  <c r="AB27" i="2"/>
  <c r="AA27" i="2"/>
  <c r="W27" i="2"/>
  <c r="V27" i="2"/>
  <c r="U27" i="2"/>
  <c r="AC26" i="2"/>
  <c r="AB26" i="2"/>
  <c r="AA26" i="2"/>
  <c r="W26" i="2"/>
  <c r="V26" i="2"/>
  <c r="U26" i="2"/>
  <c r="AC25" i="2"/>
  <c r="AB25" i="2"/>
  <c r="AA25" i="2"/>
  <c r="W25" i="2"/>
  <c r="V25" i="2"/>
  <c r="U25" i="2"/>
  <c r="AC24" i="2"/>
  <c r="AB24" i="2"/>
  <c r="AA24" i="2"/>
  <c r="W24" i="2"/>
  <c r="V24" i="2"/>
  <c r="U24" i="2"/>
  <c r="AC23" i="2"/>
  <c r="AB23" i="2"/>
  <c r="AA23" i="2"/>
  <c r="W23" i="2"/>
  <c r="V23" i="2"/>
  <c r="U23" i="2"/>
  <c r="AC22" i="2"/>
  <c r="AB22" i="2"/>
  <c r="AA22" i="2"/>
  <c r="W22" i="2"/>
  <c r="V22" i="2"/>
  <c r="U22" i="2"/>
  <c r="AC21" i="2"/>
  <c r="AB21" i="2"/>
  <c r="AA21" i="2"/>
  <c r="W21" i="2"/>
  <c r="V21" i="2"/>
  <c r="U21" i="2"/>
  <c r="AC20" i="2"/>
  <c r="AB20" i="2"/>
  <c r="AA20" i="2"/>
  <c r="W20" i="2"/>
  <c r="V20" i="2"/>
  <c r="U20" i="2"/>
  <c r="AC19" i="2"/>
  <c r="AB19" i="2"/>
  <c r="AA19" i="2"/>
  <c r="W19" i="2"/>
  <c r="V19" i="2"/>
  <c r="U19" i="2"/>
  <c r="AC18" i="2"/>
  <c r="AB18" i="2"/>
  <c r="AA18" i="2"/>
  <c r="W18" i="2"/>
  <c r="V18" i="2"/>
  <c r="U18" i="2"/>
  <c r="AC17" i="2"/>
  <c r="AB17" i="2"/>
  <c r="AA17" i="2"/>
  <c r="W17" i="2"/>
  <c r="V17" i="2"/>
  <c r="U17" i="2"/>
  <c r="AC16" i="2"/>
  <c r="AB16" i="2"/>
  <c r="AA16" i="2"/>
  <c r="W16" i="2"/>
  <c r="V16" i="2"/>
  <c r="U16" i="2"/>
  <c r="AC15" i="2"/>
  <c r="AB15" i="2"/>
  <c r="AA15" i="2"/>
  <c r="W15" i="2"/>
  <c r="V15" i="2"/>
  <c r="U15" i="2"/>
  <c r="AC14" i="2"/>
  <c r="AB14" i="2"/>
  <c r="AA14" i="2"/>
  <c r="W14" i="2"/>
  <c r="V14" i="2"/>
  <c r="U14" i="2"/>
  <c r="AC13" i="2"/>
  <c r="AB13" i="2"/>
  <c r="AA13" i="2"/>
  <c r="W13" i="2"/>
  <c r="V13" i="2"/>
  <c r="U13" i="2"/>
  <c r="AC12" i="2"/>
  <c r="AB12" i="2"/>
  <c r="AA12" i="2"/>
  <c r="W12" i="2"/>
  <c r="V12" i="2"/>
  <c r="U12" i="2"/>
  <c r="AC11" i="2"/>
  <c r="AB11" i="2"/>
  <c r="AA11" i="2"/>
  <c r="W11" i="2"/>
  <c r="V11" i="2"/>
  <c r="U11" i="2"/>
  <c r="AC10" i="2"/>
  <c r="AB10" i="2"/>
  <c r="AA10" i="2"/>
  <c r="W10" i="2"/>
  <c r="V10" i="2"/>
  <c r="U10" i="2"/>
  <c r="AC9" i="2"/>
  <c r="AB9" i="2"/>
  <c r="AA9" i="2"/>
  <c r="W9" i="2"/>
  <c r="V9" i="2"/>
  <c r="U9" i="2"/>
  <c r="AC8" i="2"/>
  <c r="AB8" i="2"/>
  <c r="AA8" i="2"/>
  <c r="W8" i="2"/>
  <c r="V8" i="2"/>
  <c r="U8" i="2"/>
  <c r="AC7" i="2"/>
  <c r="AB7" i="2"/>
  <c r="AA7" i="2"/>
  <c r="W7" i="2"/>
  <c r="V7" i="2"/>
  <c r="U7" i="2"/>
  <c r="AC6" i="2"/>
  <c r="AB6" i="2"/>
  <c r="AA6" i="2"/>
  <c r="W6" i="2"/>
  <c r="V6" i="2"/>
  <c r="U6" i="2"/>
  <c r="AC5" i="2"/>
  <c r="AB5" i="2"/>
  <c r="AA5" i="2"/>
  <c r="W5" i="2"/>
  <c r="V5" i="2"/>
  <c r="U5" i="2"/>
  <c r="AC4" i="2"/>
  <c r="AB4" i="2"/>
  <c r="AA4" i="2"/>
  <c r="W4" i="2"/>
  <c r="V4" i="2"/>
  <c r="U4" i="2"/>
  <c r="AC3" i="2"/>
  <c r="AB3" i="2"/>
  <c r="AA3" i="2"/>
  <c r="W3" i="2"/>
  <c r="V3" i="2"/>
  <c r="U3" i="2"/>
  <c r="Y6" i="2" l="1"/>
  <c r="X7" i="2"/>
  <c r="Y9" i="2"/>
  <c r="Z21" i="2"/>
  <c r="Y17" i="2"/>
  <c r="Z16" i="2"/>
  <c r="Y16" i="2"/>
  <c r="Z29" i="2"/>
  <c r="Y13" i="2"/>
  <c r="Y25" i="2"/>
  <c r="Y5" i="2"/>
  <c r="Z9" i="2"/>
  <c r="Y8" i="2"/>
  <c r="Y30" i="2"/>
  <c r="Y14" i="2"/>
  <c r="X15" i="2"/>
  <c r="Z11" i="2"/>
  <c r="Z6" i="2"/>
  <c r="Z4" i="2"/>
  <c r="Y22" i="2"/>
  <c r="Z26" i="2"/>
  <c r="X30" i="2"/>
  <c r="Y10" i="2"/>
  <c r="Z14" i="2"/>
  <c r="X21" i="2"/>
  <c r="Z24" i="2"/>
  <c r="Z12" i="2"/>
  <c r="Z17" i="2"/>
  <c r="Y21" i="2"/>
  <c r="Y4" i="2"/>
  <c r="Z8" i="2"/>
  <c r="Y26" i="2"/>
  <c r="X27" i="2"/>
  <c r="Y31" i="2"/>
  <c r="X8" i="2"/>
  <c r="X16" i="2"/>
  <c r="X26" i="2"/>
  <c r="Y27" i="2"/>
  <c r="Z30" i="2"/>
  <c r="X22" i="2"/>
  <c r="Y23" i="2"/>
  <c r="X18" i="2"/>
  <c r="Y18" i="2"/>
  <c r="Y19" i="2"/>
  <c r="Z22" i="2"/>
  <c r="Z31" i="2"/>
  <c r="Y32" i="2"/>
  <c r="X6" i="2"/>
  <c r="Y7" i="2"/>
  <c r="X14" i="2"/>
  <c r="Y15" i="2"/>
  <c r="Z18" i="2"/>
  <c r="Z27" i="2"/>
  <c r="Z5" i="2"/>
  <c r="Z13" i="2"/>
  <c r="X10" i="2"/>
  <c r="Y11" i="2"/>
  <c r="Z23" i="2"/>
  <c r="Y28" i="2"/>
  <c r="Z10" i="2"/>
  <c r="Z19" i="2"/>
  <c r="Y24" i="2"/>
  <c r="X29" i="2"/>
  <c r="Z7" i="2"/>
  <c r="Z15" i="2"/>
  <c r="Y20" i="2"/>
  <c r="X25" i="2"/>
  <c r="X31" i="2"/>
  <c r="Y12" i="2"/>
  <c r="X17" i="2"/>
  <c r="X23" i="2"/>
  <c r="Z32" i="2"/>
  <c r="X5" i="2"/>
  <c r="X9" i="2"/>
  <c r="X19" i="2"/>
  <c r="Z28" i="2"/>
  <c r="X11" i="2"/>
  <c r="Z20" i="2"/>
  <c r="X28" i="2"/>
  <c r="X13" i="2"/>
  <c r="AI2" i="3"/>
  <c r="X4" i="2"/>
  <c r="X20" i="2"/>
  <c r="X24" i="2"/>
  <c r="X32" i="2"/>
  <c r="X12" i="2"/>
  <c r="X3" i="2"/>
  <c r="Y3" i="2"/>
  <c r="Z3" i="2"/>
</calcChain>
</file>

<file path=xl/sharedStrings.xml><?xml version="1.0" encoding="utf-8"?>
<sst xmlns="http://schemas.openxmlformats.org/spreadsheetml/2006/main" count="242" uniqueCount="73">
  <si>
    <t>background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</si>
  <si>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</si>
  <si>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</si>
  <si>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</si>
  <si>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</si>
  <si>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</si>
  <si>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</si>
  <si>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</si>
  <si>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</si>
  <si>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</si>
  <si>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</si>
  <si>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</si>
  <si>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</si>
  <si>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</si>
  <si>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</si>
  <si>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</si>
  <si>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</si>
  <si>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</si>
  <si>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A_mean_raw</t>
  </si>
  <si>
    <t>B_mean_raw</t>
  </si>
  <si>
    <t>C_mean_raw</t>
  </si>
  <si>
    <t>A_mean_scored</t>
  </si>
  <si>
    <t>B_mean_scored</t>
  </si>
  <si>
    <t>C_mean_scored</t>
  </si>
  <si>
    <t>A_sum_raw</t>
  </si>
  <si>
    <t>B_sum_raw</t>
  </si>
  <si>
    <t>C_sum_raw</t>
  </si>
  <si>
    <t>Architect/designer</t>
  </si>
  <si>
    <t>Appreciative</t>
  </si>
  <si>
    <t>Student</t>
  </si>
  <si>
    <t>Learning</t>
  </si>
  <si>
    <t>Public</t>
  </si>
  <si>
    <t>Investigative</t>
  </si>
  <si>
    <t>Other</t>
  </si>
  <si>
    <t>Researcher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</si>
  <si>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</si>
  <si>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</si>
  <si>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</si>
  <si>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</si>
  <si>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</si>
  <si>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</si>
  <si>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</si>
  <si>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</si>
  <si>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</si>
  <si>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</si>
  <si>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</si>
  <si>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</si>
  <si>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</si>
  <si>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</si>
  <si>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</si>
  <si>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</si>
  <si>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</si>
  <si>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G3</t>
  </si>
  <si>
    <t>G4</t>
  </si>
  <si>
    <t>G5</t>
  </si>
  <si>
    <t>D_mean</t>
  </si>
  <si>
    <t>E_mean</t>
  </si>
  <si>
    <t>F_mean</t>
  </si>
  <si>
    <t>G_mean</t>
  </si>
  <si>
    <t>D_sum</t>
  </si>
  <si>
    <t>E_sum</t>
  </si>
  <si>
    <t>F_sum</t>
  </si>
  <si>
    <t>G_sum</t>
  </si>
  <si>
    <t>D_mean_sq</t>
  </si>
  <si>
    <t>E_mean_sq</t>
  </si>
  <si>
    <t>F_mean_sq</t>
  </si>
  <si>
    <t>Educational</t>
  </si>
  <si>
    <t>Professional</t>
  </si>
  <si>
    <t>Tourist</t>
  </si>
  <si>
    <t>NO.</t>
    <phoneticPr fontId="4" type="noConversion"/>
  </si>
  <si>
    <t>profile</t>
    <phoneticPr fontId="4" type="noConversion"/>
  </si>
  <si>
    <t>mode</t>
    <phoneticPr fontId="4" type="noConversion"/>
  </si>
  <si>
    <t>G_mean_sq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</si>
</sst>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5">
    <font>
      <sz val="11"/>
      <name val="Carlito"/>
    </font>
    <font>
      <sz val="10"/>
      <color rgb="FF111111"/>
      <name val="Arial"/>
      <family val="2"/>
    </font>
    <font>
      <b/>
      <sz val="10"/>
      <color rgb="FF11111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 vertical="center"/>
    </xf>
    <xf numFmtId="2" fontId="1" fillId="3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0" fillId="3" borderId="1" xfId="0" applyFill="1" applyBorder="1"/>
    <xf numFmtId="177" fontId="1" fillId="3" borderId="1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66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Arial"/>
        <family val="2"/>
        <scheme val="none"/>
      </font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yntheticFormative" displayName="SyntheticFormative" ref="A2:AC32" totalsRowShown="0" dataDxfId="65">
  <tableColumns count="29">
    <tableColumn id="1" xr3:uid="{C2FB9954-14C1-4BD8-8EC3-4CBAC9949175}" name="NO." dataDxfId="64" dataCellStyle="Normal"/>
    <tableColumn id="3" xr3:uid="{00000000-0010-0000-0000-000003000000}" name="background" dataDxfId="63"/>
    <tableColumn id="4" xr3:uid="{00000000-0010-0000-0000-000004000000}" name="profile" dataDxfId="62"/>
    <tableColumn id="6" xr3:uid="{00000000-0010-0000-0000-000006000000}" name="A1" dataDxfId="61"/>
    <tableColumn id="7" xr3:uid="{00000000-0010-0000-0000-000007000000}" name="A2" dataDxfId="60"/>
    <tableColumn id="8" xr3:uid="{00000000-0010-0000-0000-000008000000}" name="A3" dataDxfId="59"/>
    <tableColumn id="9" xr3:uid="{00000000-0010-0000-0000-000009000000}" name="A4" dataDxfId="58"/>
    <tableColumn id="10" xr3:uid="{00000000-0010-0000-0000-00000A000000}" name="A5" dataDxfId="57"/>
    <tableColumn id="11" xr3:uid="{00000000-0010-0000-0000-00000B000000}" name="A6" dataDxfId="56"/>
    <tableColumn id="12" xr3:uid="{00000000-0010-0000-0000-00000C000000}" name="B1" dataDxfId="55"/>
    <tableColumn id="13" xr3:uid="{00000000-0010-0000-0000-00000D000000}" name="B2" dataDxfId="54"/>
    <tableColumn id="14" xr3:uid="{00000000-0010-0000-0000-00000E000000}" name="B3" dataDxfId="53"/>
    <tableColumn id="15" xr3:uid="{00000000-0010-0000-0000-00000F000000}" name="B4" dataDxfId="52"/>
    <tableColumn id="16" xr3:uid="{00000000-0010-0000-0000-000010000000}" name="B5" dataDxfId="51"/>
    <tableColumn id="17" xr3:uid="{00000000-0010-0000-0000-000011000000}" name="B6" dataDxfId="50"/>
    <tableColumn id="18" xr3:uid="{00000000-0010-0000-0000-000012000000}" name="C1" dataDxfId="49"/>
    <tableColumn id="19" xr3:uid="{00000000-0010-0000-0000-000013000000}" name="C2" dataDxfId="48"/>
    <tableColumn id="20" xr3:uid="{00000000-0010-0000-0000-000014000000}" name="C3" dataDxfId="47"/>
    <tableColumn id="21" xr3:uid="{00000000-0010-0000-0000-000015000000}" name="C4" dataDxfId="46"/>
    <tableColumn id="22" xr3:uid="{00000000-0010-0000-0000-000016000000}" name="C5" dataDxfId="45"/>
    <tableColumn id="23" xr3:uid="{00000000-0010-0000-0000-000017000000}" name="A_mean_raw" dataDxfId="44"/>
    <tableColumn id="24" xr3:uid="{00000000-0010-0000-0000-000018000000}" name="B_mean_raw" dataDxfId="43"/>
    <tableColumn id="25" xr3:uid="{00000000-0010-0000-0000-000019000000}" name="C_mean_raw" dataDxfId="42"/>
    <tableColumn id="26" xr3:uid="{00000000-0010-0000-0000-00001A000000}" name="A_mean_scored" dataDxfId="41"/>
    <tableColumn id="27" xr3:uid="{00000000-0010-0000-0000-00001B000000}" name="B_mean_scored" dataDxfId="40"/>
    <tableColumn id="28" xr3:uid="{00000000-0010-0000-0000-00001C000000}" name="C_mean_scored" dataDxfId="39"/>
    <tableColumn id="29" xr3:uid="{00000000-0010-0000-0000-00001D000000}" name="A_sum_raw" dataDxfId="38"/>
    <tableColumn id="30" xr3:uid="{00000000-0010-0000-0000-00001E000000}" name="B_sum_raw" dataDxfId="37"/>
    <tableColumn id="31" xr3:uid="{00000000-0010-0000-0000-00001F000000}" name="C_sum_raw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yntheticPostExperience" displayName="SyntheticPostExperience" ref="B1:AI60" totalsRowShown="0" headerRowDxfId="0" dataDxfId="35">
  <tableColumns count="34">
    <tableColumn id="3" xr3:uid="{00000000-0010-0000-0100-000003000000}" name="background" dataDxfId="34"/>
    <tableColumn id="5" xr3:uid="{00000000-0010-0000-0100-000005000000}" name="mode" dataDxfId="33"/>
    <tableColumn id="6" xr3:uid="{00000000-0010-0000-0100-000006000000}" name="D1" dataDxfId="32"/>
    <tableColumn id="7" xr3:uid="{00000000-0010-0000-0100-000007000000}" name="D2" dataDxfId="31"/>
    <tableColumn id="8" xr3:uid="{00000000-0010-0000-0100-000008000000}" name="D3" dataDxfId="30"/>
    <tableColumn id="9" xr3:uid="{00000000-0010-0000-0100-000009000000}" name="D4" dataDxfId="29"/>
    <tableColumn id="10" xr3:uid="{00000000-0010-0000-0100-00000A000000}" name="D5" dataDxfId="28"/>
    <tableColumn id="11" xr3:uid="{00000000-0010-0000-0100-00000B000000}" name="E1" dataDxfId="27"/>
    <tableColumn id="12" xr3:uid="{00000000-0010-0000-0100-00000C000000}" name="E2" dataDxfId="26"/>
    <tableColumn id="13" xr3:uid="{00000000-0010-0000-0100-00000D000000}" name="E3" dataDxfId="25"/>
    <tableColumn id="14" xr3:uid="{00000000-0010-0000-0100-00000E000000}" name="E4" dataDxfId="24"/>
    <tableColumn id="15" xr3:uid="{00000000-0010-0000-0100-00000F000000}" name="E5" dataDxfId="23"/>
    <tableColumn id="16" xr3:uid="{00000000-0010-0000-0100-000010000000}" name="F1" dataDxfId="22"/>
    <tableColumn id="17" xr3:uid="{00000000-0010-0000-0100-000011000000}" name="F2" dataDxfId="21"/>
    <tableColumn id="18" xr3:uid="{00000000-0010-0000-0100-000012000000}" name="F3" dataDxfId="20"/>
    <tableColumn id="19" xr3:uid="{00000000-0010-0000-0100-000013000000}" name="F4" dataDxfId="19"/>
    <tableColumn id="20" xr3:uid="{00000000-0010-0000-0100-000014000000}" name="F5" dataDxfId="18"/>
    <tableColumn id="21" xr3:uid="{00000000-0010-0000-0100-000015000000}" name="G1" dataDxfId="17"/>
    <tableColumn id="22" xr3:uid="{00000000-0010-0000-0100-000016000000}" name="G2" dataDxfId="16"/>
    <tableColumn id="23" xr3:uid="{00000000-0010-0000-0100-000017000000}" name="G3" dataDxfId="15"/>
    <tableColumn id="24" xr3:uid="{00000000-0010-0000-0100-000018000000}" name="G4" dataDxfId="14"/>
    <tableColumn id="25" xr3:uid="{00000000-0010-0000-0100-000019000000}" name="G5" dataDxfId="13"/>
    <tableColumn id="26" xr3:uid="{00000000-0010-0000-0100-00001A000000}" name="D_mean" dataDxfId="12"/>
    <tableColumn id="27" xr3:uid="{00000000-0010-0000-0100-00001B000000}" name="E_mean" dataDxfId="11"/>
    <tableColumn id="28" xr3:uid="{00000000-0010-0000-0100-00001C000000}" name="F_mean" dataDxfId="10"/>
    <tableColumn id="29" xr3:uid="{00000000-0010-0000-0100-00001D000000}" name="G_mean" dataDxfId="9"/>
    <tableColumn id="30" xr3:uid="{00000000-0010-0000-0100-00001E000000}" name="D_sum" dataDxfId="8"/>
    <tableColumn id="31" xr3:uid="{00000000-0010-0000-0100-00001F000000}" name="E_sum" dataDxfId="7"/>
    <tableColumn id="32" xr3:uid="{00000000-0010-0000-0100-000020000000}" name="F_sum" dataDxfId="6"/>
    <tableColumn id="33" xr3:uid="{00000000-0010-0000-0100-000021000000}" name="G_sum" dataDxfId="5"/>
    <tableColumn id="34" xr3:uid="{00000000-0010-0000-0100-000022000000}" name="D_mean_sq" dataDxfId="4"/>
    <tableColumn id="35" xr3:uid="{00000000-0010-0000-0100-000023000000}" name="E_mean_sq" dataDxfId="3"/>
    <tableColumn id="36" xr3:uid="{00000000-0010-0000-0100-000024000000}" name="F_mean_sq" dataDxfId="2"/>
    <tableColumn id="37" xr3:uid="{00000000-0010-0000-0100-000025000000}" name="G_mean_sq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"/>
  <sheetViews>
    <sheetView zoomScale="71" workbookViewId="0">
      <pane xSplit="3" ySplit="2" topLeftCell="D3" activePane="bottomRight" state="frozen"/>
      <selection pane="topRight"/>
      <selection pane="bottomLeft"/>
      <selection pane="bottomRight" activeCell="A2" sqref="A2"/>
    </sheetView>
  </sheetViews>
  <sheetFormatPr defaultRowHeight="13.5"/>
  <cols>
    <col min="1" max="1" width="23" customWidth="1"/>
    <col min="2" max="2" width="20" customWidth="1"/>
    <col min="3" max="3" width="14.4375" customWidth="1"/>
    <col min="4" max="19" width="7" customWidth="1"/>
    <col min="20" max="28" width="13" customWidth="1"/>
  </cols>
  <sheetData>
    <row r="1" spans="1:29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42" customHeight="1">
      <c r="A2" s="2" t="s">
        <v>69</v>
      </c>
      <c r="B2" s="2" t="s">
        <v>0</v>
      </c>
      <c r="C2" s="2" t="s">
        <v>70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</row>
    <row r="3" spans="1:29" ht="20" customHeight="1">
      <c r="A3" s="3">
        <v>1</v>
      </c>
      <c r="B3" s="3" t="s">
        <v>27</v>
      </c>
      <c r="C3" s="3" t="s">
        <v>28</v>
      </c>
      <c r="D3" s="4">
        <v>4</v>
      </c>
      <c r="E3" s="4">
        <v>3</v>
      </c>
      <c r="F3" s="4">
        <v>3</v>
      </c>
      <c r="G3" s="4">
        <v>4</v>
      </c>
      <c r="H3" s="4">
        <v>4</v>
      </c>
      <c r="I3" s="4">
        <v>4</v>
      </c>
      <c r="J3" s="4">
        <v>4</v>
      </c>
      <c r="K3" s="4">
        <v>1</v>
      </c>
      <c r="L3" s="4">
        <v>2</v>
      </c>
      <c r="M3" s="4">
        <v>2</v>
      </c>
      <c r="N3" s="4">
        <v>4</v>
      </c>
      <c r="O3" s="4">
        <v>3</v>
      </c>
      <c r="P3" s="4">
        <v>3</v>
      </c>
      <c r="Q3" s="4">
        <v>2</v>
      </c>
      <c r="R3" s="4">
        <v>3</v>
      </c>
      <c r="S3" s="4">
        <v>5</v>
      </c>
      <c r="T3" s="4">
        <v>2</v>
      </c>
      <c r="U3" s="5">
        <f t="shared" ref="U3:U32" si="0">AVERAGE(D3:I3)</f>
        <v>3.6666666666666665</v>
      </c>
      <c r="V3" s="5">
        <f t="shared" ref="V3:V32" si="1">AVERAGE(J3:O3)</f>
        <v>2.6666666666666665</v>
      </c>
      <c r="W3" s="5">
        <f t="shared" ref="W3:W32" si="2">AVERAGE(P3:T3)</f>
        <v>3</v>
      </c>
      <c r="X3" s="5" t="e">
        <f>#REF!</f>
        <v>#REF!</v>
      </c>
      <c r="Y3" s="5" t="e">
        <f>#REF!</f>
        <v>#REF!</v>
      </c>
      <c r="Z3" s="5" t="e">
        <f>#REF!</f>
        <v>#REF!</v>
      </c>
      <c r="AA3" s="4">
        <f t="shared" ref="AA3:AA32" si="3">SUM(D3:I3)</f>
        <v>22</v>
      </c>
      <c r="AB3" s="4">
        <f t="shared" ref="AB3:AB32" si="4">SUM(J3:O3)</f>
        <v>16</v>
      </c>
      <c r="AC3" s="4">
        <f t="shared" ref="AC3:AC32" si="5">SUM(P3:T3)</f>
        <v>15</v>
      </c>
    </row>
    <row r="4" spans="1:29" ht="20" customHeight="1">
      <c r="A4" s="3">
        <v>2</v>
      </c>
      <c r="B4" s="3" t="s">
        <v>29</v>
      </c>
      <c r="C4" s="3" t="s">
        <v>30</v>
      </c>
      <c r="D4" s="4">
        <v>4</v>
      </c>
      <c r="E4" s="4">
        <v>5</v>
      </c>
      <c r="F4" s="4">
        <v>3</v>
      </c>
      <c r="G4" s="4">
        <v>4</v>
      </c>
      <c r="H4" s="4">
        <v>4</v>
      </c>
      <c r="I4" s="4">
        <v>3</v>
      </c>
      <c r="J4" s="4">
        <v>3</v>
      </c>
      <c r="K4" s="4">
        <v>4</v>
      </c>
      <c r="L4" s="4">
        <v>4</v>
      </c>
      <c r="M4" s="4">
        <v>4</v>
      </c>
      <c r="N4" s="4">
        <v>4</v>
      </c>
      <c r="O4" s="4">
        <v>3</v>
      </c>
      <c r="P4" s="4">
        <v>3</v>
      </c>
      <c r="Q4" s="4">
        <v>3</v>
      </c>
      <c r="R4" s="4">
        <v>4</v>
      </c>
      <c r="S4" s="4">
        <v>4</v>
      </c>
      <c r="T4" s="4">
        <v>3</v>
      </c>
      <c r="U4" s="5">
        <f t="shared" si="0"/>
        <v>3.8333333333333335</v>
      </c>
      <c r="V4" s="5">
        <f t="shared" si="1"/>
        <v>3.6666666666666665</v>
      </c>
      <c r="W4" s="5">
        <f t="shared" si="2"/>
        <v>3.4</v>
      </c>
      <c r="X4" s="5" t="e">
        <f>#REF!</f>
        <v>#REF!</v>
      </c>
      <c r="Y4" s="5" t="e">
        <f>#REF!</f>
        <v>#REF!</v>
      </c>
      <c r="Z4" s="5" t="e">
        <f>#REF!</f>
        <v>#REF!</v>
      </c>
      <c r="AA4" s="4">
        <f t="shared" si="3"/>
        <v>23</v>
      </c>
      <c r="AB4" s="4">
        <f t="shared" si="4"/>
        <v>22</v>
      </c>
      <c r="AC4" s="4">
        <f t="shared" si="5"/>
        <v>17</v>
      </c>
    </row>
    <row r="5" spans="1:29" ht="20" customHeight="1">
      <c r="A5" s="3">
        <v>3</v>
      </c>
      <c r="B5" s="3" t="s">
        <v>29</v>
      </c>
      <c r="C5" s="3" t="s">
        <v>28</v>
      </c>
      <c r="D5" s="4">
        <v>4</v>
      </c>
      <c r="E5" s="4">
        <v>4</v>
      </c>
      <c r="F5" s="4">
        <v>3</v>
      </c>
      <c r="G5" s="4">
        <v>5</v>
      </c>
      <c r="H5" s="4">
        <v>4</v>
      </c>
      <c r="I5" s="4">
        <v>4</v>
      </c>
      <c r="J5" s="4">
        <v>3</v>
      </c>
      <c r="K5" s="4">
        <v>3</v>
      </c>
      <c r="L5" s="4">
        <v>3</v>
      </c>
      <c r="M5" s="4">
        <v>3</v>
      </c>
      <c r="N5" s="4">
        <v>3</v>
      </c>
      <c r="O5" s="4">
        <v>4</v>
      </c>
      <c r="P5" s="4">
        <v>5</v>
      </c>
      <c r="Q5" s="4">
        <v>3</v>
      </c>
      <c r="R5" s="4">
        <v>3</v>
      </c>
      <c r="S5" s="4">
        <v>5</v>
      </c>
      <c r="T5" s="4">
        <v>1</v>
      </c>
      <c r="U5" s="5">
        <f t="shared" si="0"/>
        <v>4</v>
      </c>
      <c r="V5" s="5">
        <f t="shared" si="1"/>
        <v>3.1666666666666665</v>
      </c>
      <c r="W5" s="5">
        <f t="shared" si="2"/>
        <v>3.4</v>
      </c>
      <c r="X5" s="5" t="e">
        <f>#REF!</f>
        <v>#REF!</v>
      </c>
      <c r="Y5" s="5" t="e">
        <f>#REF!</f>
        <v>#REF!</v>
      </c>
      <c r="Z5" s="5" t="e">
        <f>#REF!</f>
        <v>#REF!</v>
      </c>
      <c r="AA5" s="4">
        <f t="shared" si="3"/>
        <v>24</v>
      </c>
      <c r="AB5" s="4">
        <f t="shared" si="4"/>
        <v>19</v>
      </c>
      <c r="AC5" s="4">
        <f t="shared" si="5"/>
        <v>17</v>
      </c>
    </row>
    <row r="6" spans="1:29" ht="20" customHeight="1">
      <c r="A6" s="3">
        <v>4</v>
      </c>
      <c r="B6" s="3" t="s">
        <v>31</v>
      </c>
      <c r="C6" s="3" t="s">
        <v>32</v>
      </c>
      <c r="D6" s="4">
        <v>5</v>
      </c>
      <c r="E6" s="4">
        <v>4</v>
      </c>
      <c r="F6" s="4">
        <v>4</v>
      </c>
      <c r="G6" s="4">
        <v>5</v>
      </c>
      <c r="H6" s="4">
        <v>4</v>
      </c>
      <c r="I6" s="4">
        <v>5</v>
      </c>
      <c r="J6" s="4">
        <v>1</v>
      </c>
      <c r="K6" s="4">
        <v>5</v>
      </c>
      <c r="L6" s="4">
        <v>5</v>
      </c>
      <c r="M6" s="4">
        <v>5</v>
      </c>
      <c r="N6" s="4">
        <v>1</v>
      </c>
      <c r="O6" s="4">
        <v>1</v>
      </c>
      <c r="P6" s="4">
        <v>2</v>
      </c>
      <c r="Q6" s="4">
        <v>5</v>
      </c>
      <c r="R6" s="4">
        <v>2</v>
      </c>
      <c r="S6" s="4">
        <v>3</v>
      </c>
      <c r="T6" s="4">
        <v>4</v>
      </c>
      <c r="U6" s="5">
        <f t="shared" si="0"/>
        <v>4.5</v>
      </c>
      <c r="V6" s="5">
        <f t="shared" si="1"/>
        <v>3</v>
      </c>
      <c r="W6" s="5">
        <f t="shared" si="2"/>
        <v>3.2</v>
      </c>
      <c r="X6" s="5" t="e">
        <f>#REF!</f>
        <v>#REF!</v>
      </c>
      <c r="Y6" s="5" t="e">
        <f>#REF!</f>
        <v>#REF!</v>
      </c>
      <c r="Z6" s="5" t="e">
        <f>#REF!</f>
        <v>#REF!</v>
      </c>
      <c r="AA6" s="4">
        <f t="shared" si="3"/>
        <v>27</v>
      </c>
      <c r="AB6" s="4">
        <f t="shared" si="4"/>
        <v>18</v>
      </c>
      <c r="AC6" s="4">
        <f t="shared" si="5"/>
        <v>16</v>
      </c>
    </row>
    <row r="7" spans="1:29" ht="20" customHeight="1">
      <c r="A7" s="3">
        <v>5</v>
      </c>
      <c r="B7" s="3" t="s">
        <v>31</v>
      </c>
      <c r="C7" s="3" t="s">
        <v>30</v>
      </c>
      <c r="D7" s="4">
        <v>5</v>
      </c>
      <c r="E7" s="4">
        <v>4</v>
      </c>
      <c r="F7" s="4">
        <v>3</v>
      </c>
      <c r="G7" s="4">
        <v>3</v>
      </c>
      <c r="H7" s="4">
        <v>3</v>
      </c>
      <c r="I7" s="4">
        <v>5</v>
      </c>
      <c r="J7" s="4">
        <v>3</v>
      </c>
      <c r="K7" s="4">
        <v>4</v>
      </c>
      <c r="L7" s="4">
        <v>4</v>
      </c>
      <c r="M7" s="4">
        <v>4</v>
      </c>
      <c r="N7" s="4">
        <v>2</v>
      </c>
      <c r="O7" s="4">
        <v>2</v>
      </c>
      <c r="P7" s="4">
        <v>5</v>
      </c>
      <c r="Q7" s="4">
        <v>2</v>
      </c>
      <c r="R7" s="4">
        <v>5</v>
      </c>
      <c r="S7" s="4">
        <v>3</v>
      </c>
      <c r="T7" s="4">
        <v>3</v>
      </c>
      <c r="U7" s="5">
        <f t="shared" si="0"/>
        <v>3.8333333333333335</v>
      </c>
      <c r="V7" s="5">
        <f t="shared" si="1"/>
        <v>3.1666666666666665</v>
      </c>
      <c r="W7" s="5">
        <f t="shared" si="2"/>
        <v>3.6</v>
      </c>
      <c r="X7" s="5" t="e">
        <f>#REF!</f>
        <v>#REF!</v>
      </c>
      <c r="Y7" s="5" t="e">
        <f>#REF!</f>
        <v>#REF!</v>
      </c>
      <c r="Z7" s="5" t="e">
        <f>#REF!</f>
        <v>#REF!</v>
      </c>
      <c r="AA7" s="4">
        <f t="shared" si="3"/>
        <v>23</v>
      </c>
      <c r="AB7" s="4">
        <f t="shared" si="4"/>
        <v>19</v>
      </c>
      <c r="AC7" s="4">
        <f t="shared" si="5"/>
        <v>18</v>
      </c>
    </row>
    <row r="8" spans="1:29" ht="20" customHeight="1">
      <c r="A8" s="3">
        <v>6</v>
      </c>
      <c r="B8" s="3" t="s">
        <v>31</v>
      </c>
      <c r="C8" s="3" t="s">
        <v>28</v>
      </c>
      <c r="D8" s="4">
        <v>4</v>
      </c>
      <c r="E8" s="4">
        <v>3</v>
      </c>
      <c r="F8" s="4">
        <v>5</v>
      </c>
      <c r="G8" s="4">
        <v>4</v>
      </c>
      <c r="H8" s="4">
        <v>2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4</v>
      </c>
      <c r="O8" s="4">
        <v>3</v>
      </c>
      <c r="P8" s="4">
        <v>4</v>
      </c>
      <c r="Q8" s="4">
        <v>2</v>
      </c>
      <c r="R8" s="4">
        <v>2</v>
      </c>
      <c r="S8" s="4">
        <v>4</v>
      </c>
      <c r="T8" s="4">
        <v>1</v>
      </c>
      <c r="U8" s="5">
        <f t="shared" si="0"/>
        <v>3.5</v>
      </c>
      <c r="V8" s="5">
        <f t="shared" si="1"/>
        <v>3.1666666666666665</v>
      </c>
      <c r="W8" s="5">
        <f t="shared" si="2"/>
        <v>2.6</v>
      </c>
      <c r="X8" s="5" t="e">
        <f>#REF!</f>
        <v>#REF!</v>
      </c>
      <c r="Y8" s="5" t="e">
        <f>#REF!</f>
        <v>#REF!</v>
      </c>
      <c r="Z8" s="5" t="e">
        <f>#REF!</f>
        <v>#REF!</v>
      </c>
      <c r="AA8" s="4">
        <f t="shared" si="3"/>
        <v>21</v>
      </c>
      <c r="AB8" s="4">
        <f t="shared" si="4"/>
        <v>19</v>
      </c>
      <c r="AC8" s="4">
        <f t="shared" si="5"/>
        <v>13</v>
      </c>
    </row>
    <row r="9" spans="1:29" ht="20" customHeight="1">
      <c r="A9" s="3">
        <v>7</v>
      </c>
      <c r="B9" s="3" t="s">
        <v>29</v>
      </c>
      <c r="C9" s="3" t="s">
        <v>32</v>
      </c>
      <c r="D9" s="4">
        <v>3</v>
      </c>
      <c r="E9" s="4">
        <v>2</v>
      </c>
      <c r="F9" s="4">
        <v>5</v>
      </c>
      <c r="G9" s="4">
        <v>5</v>
      </c>
      <c r="H9" s="4">
        <v>4</v>
      </c>
      <c r="I9" s="4">
        <v>5</v>
      </c>
      <c r="J9" s="4">
        <v>3</v>
      </c>
      <c r="K9" s="4">
        <v>4</v>
      </c>
      <c r="L9" s="4">
        <v>3</v>
      </c>
      <c r="M9" s="4">
        <v>4</v>
      </c>
      <c r="N9" s="4">
        <v>2</v>
      </c>
      <c r="O9" s="4">
        <v>3</v>
      </c>
      <c r="P9" s="4">
        <v>1</v>
      </c>
      <c r="Q9" s="4">
        <v>5</v>
      </c>
      <c r="R9" s="4">
        <v>1</v>
      </c>
      <c r="S9" s="4">
        <v>1</v>
      </c>
      <c r="T9" s="4">
        <v>5</v>
      </c>
      <c r="U9" s="5">
        <f t="shared" si="0"/>
        <v>4</v>
      </c>
      <c r="V9" s="5">
        <f t="shared" si="1"/>
        <v>3.1666666666666665</v>
      </c>
      <c r="W9" s="5">
        <f t="shared" si="2"/>
        <v>2.6</v>
      </c>
      <c r="X9" s="5" t="e">
        <f>#REF!</f>
        <v>#REF!</v>
      </c>
      <c r="Y9" s="5" t="e">
        <f>#REF!</f>
        <v>#REF!</v>
      </c>
      <c r="Z9" s="5" t="e">
        <f>#REF!</f>
        <v>#REF!</v>
      </c>
      <c r="AA9" s="4">
        <f t="shared" si="3"/>
        <v>24</v>
      </c>
      <c r="AB9" s="4">
        <f t="shared" si="4"/>
        <v>19</v>
      </c>
      <c r="AC9" s="4">
        <f t="shared" si="5"/>
        <v>13</v>
      </c>
    </row>
    <row r="10" spans="1:29" ht="20" customHeight="1">
      <c r="A10" s="3">
        <v>8</v>
      </c>
      <c r="B10" s="3" t="s">
        <v>27</v>
      </c>
      <c r="C10" s="3" t="s">
        <v>30</v>
      </c>
      <c r="D10" s="4">
        <v>5</v>
      </c>
      <c r="E10" s="4">
        <v>5</v>
      </c>
      <c r="F10" s="4">
        <v>4</v>
      </c>
      <c r="G10" s="4">
        <v>4</v>
      </c>
      <c r="H10" s="4">
        <v>4</v>
      </c>
      <c r="I10" s="4">
        <v>1</v>
      </c>
      <c r="J10" s="4">
        <v>3</v>
      </c>
      <c r="K10" s="4">
        <v>5</v>
      </c>
      <c r="L10" s="4">
        <v>4</v>
      </c>
      <c r="M10" s="4">
        <v>4</v>
      </c>
      <c r="N10" s="4">
        <v>3</v>
      </c>
      <c r="O10" s="4">
        <v>2</v>
      </c>
      <c r="P10" s="4">
        <v>3</v>
      </c>
      <c r="Q10" s="4">
        <v>4</v>
      </c>
      <c r="R10" s="4">
        <v>5</v>
      </c>
      <c r="S10" s="4">
        <v>2</v>
      </c>
      <c r="T10" s="4">
        <v>2</v>
      </c>
      <c r="U10" s="5">
        <f t="shared" si="0"/>
        <v>3.8333333333333335</v>
      </c>
      <c r="V10" s="5">
        <f t="shared" si="1"/>
        <v>3.5</v>
      </c>
      <c r="W10" s="5">
        <f t="shared" si="2"/>
        <v>3.2</v>
      </c>
      <c r="X10" s="5" t="e">
        <f>#REF!</f>
        <v>#REF!</v>
      </c>
      <c r="Y10" s="5" t="e">
        <f>#REF!</f>
        <v>#REF!</v>
      </c>
      <c r="Z10" s="5" t="e">
        <f>#REF!</f>
        <v>#REF!</v>
      </c>
      <c r="AA10" s="4">
        <f t="shared" si="3"/>
        <v>23</v>
      </c>
      <c r="AB10" s="4">
        <f t="shared" si="4"/>
        <v>21</v>
      </c>
      <c r="AC10" s="4">
        <f t="shared" si="5"/>
        <v>16</v>
      </c>
    </row>
    <row r="11" spans="1:29" ht="20" customHeight="1">
      <c r="A11" s="3">
        <v>9</v>
      </c>
      <c r="B11" s="3" t="s">
        <v>31</v>
      </c>
      <c r="C11" s="3" t="s">
        <v>28</v>
      </c>
      <c r="D11" s="4">
        <v>5</v>
      </c>
      <c r="E11" s="4">
        <v>4</v>
      </c>
      <c r="F11" s="4">
        <v>5</v>
      </c>
      <c r="G11" s="4">
        <v>4</v>
      </c>
      <c r="H11" s="4">
        <v>4</v>
      </c>
      <c r="I11" s="4">
        <v>2</v>
      </c>
      <c r="J11" s="4">
        <v>3</v>
      </c>
      <c r="K11" s="4">
        <v>1</v>
      </c>
      <c r="L11" s="4">
        <v>2</v>
      </c>
      <c r="M11" s="4">
        <v>2</v>
      </c>
      <c r="N11" s="4">
        <v>3</v>
      </c>
      <c r="O11" s="4">
        <v>4</v>
      </c>
      <c r="P11" s="4">
        <v>5</v>
      </c>
      <c r="Q11" s="4">
        <v>2</v>
      </c>
      <c r="R11" s="4">
        <v>1</v>
      </c>
      <c r="S11" s="4">
        <v>4</v>
      </c>
      <c r="T11" s="4">
        <v>1</v>
      </c>
      <c r="U11" s="5">
        <f t="shared" si="0"/>
        <v>4</v>
      </c>
      <c r="V11" s="5">
        <f t="shared" si="1"/>
        <v>2.5</v>
      </c>
      <c r="W11" s="5">
        <f t="shared" si="2"/>
        <v>2.6</v>
      </c>
      <c r="X11" s="5" t="e">
        <f>#REF!</f>
        <v>#REF!</v>
      </c>
      <c r="Y11" s="5" t="e">
        <f>#REF!</f>
        <v>#REF!</v>
      </c>
      <c r="Z11" s="5" t="e">
        <f>#REF!</f>
        <v>#REF!</v>
      </c>
      <c r="AA11" s="4">
        <f t="shared" si="3"/>
        <v>24</v>
      </c>
      <c r="AB11" s="4">
        <f t="shared" si="4"/>
        <v>15</v>
      </c>
      <c r="AC11" s="4">
        <f t="shared" si="5"/>
        <v>13</v>
      </c>
    </row>
    <row r="12" spans="1:29" ht="20" customHeight="1">
      <c r="A12" s="3">
        <v>10</v>
      </c>
      <c r="B12" s="3" t="s">
        <v>31</v>
      </c>
      <c r="C12" s="3" t="s">
        <v>28</v>
      </c>
      <c r="D12" s="4">
        <v>1</v>
      </c>
      <c r="E12" s="4">
        <v>1</v>
      </c>
      <c r="F12" s="4">
        <v>5</v>
      </c>
      <c r="G12" s="4">
        <v>1</v>
      </c>
      <c r="H12" s="4">
        <v>3</v>
      </c>
      <c r="I12" s="4">
        <v>1</v>
      </c>
      <c r="J12" s="4">
        <v>4</v>
      </c>
      <c r="K12" s="4">
        <v>1</v>
      </c>
      <c r="L12" s="4">
        <v>2</v>
      </c>
      <c r="M12" s="4">
        <v>1</v>
      </c>
      <c r="N12" s="4">
        <v>4</v>
      </c>
      <c r="O12" s="4">
        <v>5</v>
      </c>
      <c r="P12" s="4">
        <v>3</v>
      </c>
      <c r="Q12" s="4">
        <v>2</v>
      </c>
      <c r="R12" s="4">
        <v>3</v>
      </c>
      <c r="S12" s="4">
        <v>2</v>
      </c>
      <c r="T12" s="4">
        <v>4</v>
      </c>
      <c r="U12" s="5">
        <f t="shared" si="0"/>
        <v>2</v>
      </c>
      <c r="V12" s="5">
        <f t="shared" si="1"/>
        <v>2.8333333333333335</v>
      </c>
      <c r="W12" s="5">
        <f t="shared" si="2"/>
        <v>2.8</v>
      </c>
      <c r="X12" s="5" t="e">
        <f>#REF!</f>
        <v>#REF!</v>
      </c>
      <c r="Y12" s="5" t="e">
        <f>#REF!</f>
        <v>#REF!</v>
      </c>
      <c r="Z12" s="5" t="e">
        <f>#REF!</f>
        <v>#REF!</v>
      </c>
      <c r="AA12" s="4">
        <f t="shared" si="3"/>
        <v>12</v>
      </c>
      <c r="AB12" s="4">
        <f t="shared" si="4"/>
        <v>17</v>
      </c>
      <c r="AC12" s="4">
        <f t="shared" si="5"/>
        <v>14</v>
      </c>
    </row>
    <row r="13" spans="1:29" ht="20" customHeight="1">
      <c r="A13" s="3">
        <v>11</v>
      </c>
      <c r="B13" s="3" t="s">
        <v>33</v>
      </c>
      <c r="C13" s="3" t="s">
        <v>28</v>
      </c>
      <c r="D13" s="4">
        <v>1</v>
      </c>
      <c r="E13" s="4">
        <v>2</v>
      </c>
      <c r="F13" s="4">
        <v>2</v>
      </c>
      <c r="G13" s="4">
        <v>2</v>
      </c>
      <c r="H13" s="4">
        <v>3</v>
      </c>
      <c r="I13" s="4">
        <v>4</v>
      </c>
      <c r="J13" s="4">
        <v>4</v>
      </c>
      <c r="K13" s="4">
        <v>1</v>
      </c>
      <c r="L13" s="4">
        <v>1</v>
      </c>
      <c r="M13" s="4">
        <v>2</v>
      </c>
      <c r="N13" s="4">
        <v>5</v>
      </c>
      <c r="O13" s="4">
        <v>4</v>
      </c>
      <c r="P13" s="4">
        <v>5</v>
      </c>
      <c r="Q13" s="4">
        <v>2</v>
      </c>
      <c r="R13" s="4">
        <v>5</v>
      </c>
      <c r="S13" s="4">
        <v>4</v>
      </c>
      <c r="T13" s="4">
        <v>1</v>
      </c>
      <c r="U13" s="5">
        <f t="shared" si="0"/>
        <v>2.3333333333333335</v>
      </c>
      <c r="V13" s="5">
        <f t="shared" si="1"/>
        <v>2.8333333333333335</v>
      </c>
      <c r="W13" s="5">
        <f t="shared" si="2"/>
        <v>3.4</v>
      </c>
      <c r="X13" s="5" t="e">
        <f>#REF!</f>
        <v>#REF!</v>
      </c>
      <c r="Y13" s="5" t="e">
        <f>#REF!</f>
        <v>#REF!</v>
      </c>
      <c r="Z13" s="5" t="e">
        <f>#REF!</f>
        <v>#REF!</v>
      </c>
      <c r="AA13" s="4">
        <f t="shared" si="3"/>
        <v>14</v>
      </c>
      <c r="AB13" s="4">
        <f t="shared" si="4"/>
        <v>17</v>
      </c>
      <c r="AC13" s="4">
        <f t="shared" si="5"/>
        <v>17</v>
      </c>
    </row>
    <row r="14" spans="1:29" ht="20" customHeight="1">
      <c r="A14" s="3">
        <v>12</v>
      </c>
      <c r="B14" s="3" t="s">
        <v>31</v>
      </c>
      <c r="C14" s="3" t="s">
        <v>28</v>
      </c>
      <c r="D14" s="4">
        <v>3</v>
      </c>
      <c r="E14" s="4">
        <v>1</v>
      </c>
      <c r="F14" s="4">
        <v>4</v>
      </c>
      <c r="G14" s="4">
        <v>5</v>
      </c>
      <c r="H14" s="4">
        <v>4</v>
      </c>
      <c r="I14" s="4">
        <v>4</v>
      </c>
      <c r="J14" s="4">
        <v>5</v>
      </c>
      <c r="K14" s="4">
        <v>1</v>
      </c>
      <c r="L14" s="4">
        <v>2</v>
      </c>
      <c r="M14" s="4">
        <v>1</v>
      </c>
      <c r="N14" s="4">
        <v>5</v>
      </c>
      <c r="O14" s="4">
        <v>4</v>
      </c>
      <c r="P14" s="4">
        <v>5</v>
      </c>
      <c r="Q14" s="4">
        <v>5</v>
      </c>
      <c r="R14" s="4">
        <v>2</v>
      </c>
      <c r="S14" s="4">
        <v>4</v>
      </c>
      <c r="T14" s="4">
        <v>3</v>
      </c>
      <c r="U14" s="5">
        <f t="shared" si="0"/>
        <v>3.5</v>
      </c>
      <c r="V14" s="5">
        <f t="shared" si="1"/>
        <v>3</v>
      </c>
      <c r="W14" s="5">
        <f t="shared" si="2"/>
        <v>3.8</v>
      </c>
      <c r="X14" s="5" t="e">
        <f>#REF!</f>
        <v>#REF!</v>
      </c>
      <c r="Y14" s="5" t="e">
        <f>#REF!</f>
        <v>#REF!</v>
      </c>
      <c r="Z14" s="5" t="e">
        <f>#REF!</f>
        <v>#REF!</v>
      </c>
      <c r="AA14" s="4">
        <f t="shared" si="3"/>
        <v>21</v>
      </c>
      <c r="AB14" s="4">
        <f t="shared" si="4"/>
        <v>18</v>
      </c>
      <c r="AC14" s="4">
        <f t="shared" si="5"/>
        <v>19</v>
      </c>
    </row>
    <row r="15" spans="1:29" ht="20" customHeight="1">
      <c r="A15" s="3">
        <v>13</v>
      </c>
      <c r="B15" s="3" t="s">
        <v>29</v>
      </c>
      <c r="C15" s="3" t="s">
        <v>30</v>
      </c>
      <c r="D15" s="4">
        <v>1</v>
      </c>
      <c r="E15" s="4">
        <v>1</v>
      </c>
      <c r="F15" s="4">
        <v>2</v>
      </c>
      <c r="G15" s="4">
        <v>1</v>
      </c>
      <c r="H15" s="4">
        <v>2</v>
      </c>
      <c r="I15" s="4">
        <v>2</v>
      </c>
      <c r="J15" s="4">
        <v>4</v>
      </c>
      <c r="K15" s="4">
        <v>2</v>
      </c>
      <c r="L15" s="4">
        <v>2</v>
      </c>
      <c r="M15" s="4">
        <v>2</v>
      </c>
      <c r="N15" s="4">
        <v>4</v>
      </c>
      <c r="O15" s="4">
        <v>4</v>
      </c>
      <c r="P15" s="4">
        <v>1</v>
      </c>
      <c r="Q15" s="4">
        <v>4</v>
      </c>
      <c r="R15" s="4">
        <v>3</v>
      </c>
      <c r="S15" s="4">
        <v>2</v>
      </c>
      <c r="T15" s="4">
        <v>2</v>
      </c>
      <c r="U15" s="5">
        <f t="shared" si="0"/>
        <v>1.5</v>
      </c>
      <c r="V15" s="5">
        <f t="shared" si="1"/>
        <v>3</v>
      </c>
      <c r="W15" s="5">
        <f t="shared" si="2"/>
        <v>2.4</v>
      </c>
      <c r="X15" s="5" t="e">
        <f>#REF!</f>
        <v>#REF!</v>
      </c>
      <c r="Y15" s="5" t="e">
        <f>#REF!</f>
        <v>#REF!</v>
      </c>
      <c r="Z15" s="5" t="e">
        <f>#REF!</f>
        <v>#REF!</v>
      </c>
      <c r="AA15" s="4">
        <f t="shared" si="3"/>
        <v>9</v>
      </c>
      <c r="AB15" s="4">
        <f t="shared" si="4"/>
        <v>18</v>
      </c>
      <c r="AC15" s="4">
        <f t="shared" si="5"/>
        <v>12</v>
      </c>
    </row>
    <row r="16" spans="1:29" ht="20" customHeight="1">
      <c r="A16" s="3">
        <v>14</v>
      </c>
      <c r="B16" s="3" t="s">
        <v>29</v>
      </c>
      <c r="C16" s="3" t="s">
        <v>28</v>
      </c>
      <c r="D16" s="4">
        <v>3</v>
      </c>
      <c r="E16" s="4">
        <v>3</v>
      </c>
      <c r="F16" s="4">
        <v>3</v>
      </c>
      <c r="G16" s="4">
        <v>4</v>
      </c>
      <c r="H16" s="4">
        <v>3</v>
      </c>
      <c r="I16" s="4">
        <v>4</v>
      </c>
      <c r="J16" s="4">
        <v>4</v>
      </c>
      <c r="K16" s="4">
        <v>3</v>
      </c>
      <c r="L16" s="4">
        <v>3</v>
      </c>
      <c r="M16" s="4">
        <v>1</v>
      </c>
      <c r="N16" s="4">
        <v>4</v>
      </c>
      <c r="O16" s="4">
        <v>3</v>
      </c>
      <c r="P16" s="4">
        <v>2</v>
      </c>
      <c r="Q16" s="4">
        <v>2</v>
      </c>
      <c r="R16" s="4">
        <v>3</v>
      </c>
      <c r="S16" s="4">
        <v>5</v>
      </c>
      <c r="T16" s="4">
        <v>4</v>
      </c>
      <c r="U16" s="5">
        <f t="shared" si="0"/>
        <v>3.3333333333333335</v>
      </c>
      <c r="V16" s="5">
        <f t="shared" si="1"/>
        <v>3</v>
      </c>
      <c r="W16" s="5">
        <f t="shared" si="2"/>
        <v>3.2</v>
      </c>
      <c r="X16" s="5" t="e">
        <f>#REF!</f>
        <v>#REF!</v>
      </c>
      <c r="Y16" s="5" t="e">
        <f>#REF!</f>
        <v>#REF!</v>
      </c>
      <c r="Z16" s="5" t="e">
        <f>#REF!</f>
        <v>#REF!</v>
      </c>
      <c r="AA16" s="4">
        <f t="shared" si="3"/>
        <v>20</v>
      </c>
      <c r="AB16" s="4">
        <f t="shared" si="4"/>
        <v>18</v>
      </c>
      <c r="AC16" s="4">
        <f t="shared" si="5"/>
        <v>16</v>
      </c>
    </row>
    <row r="17" spans="1:29" ht="20" customHeight="1">
      <c r="A17" s="3">
        <v>15</v>
      </c>
      <c r="B17" s="3" t="s">
        <v>29</v>
      </c>
      <c r="C17" s="3" t="s">
        <v>32</v>
      </c>
      <c r="D17" s="4">
        <v>3</v>
      </c>
      <c r="E17" s="4">
        <v>3</v>
      </c>
      <c r="F17" s="4">
        <v>3</v>
      </c>
      <c r="G17" s="4">
        <v>5</v>
      </c>
      <c r="H17" s="4">
        <v>3</v>
      </c>
      <c r="I17" s="4">
        <v>3</v>
      </c>
      <c r="J17" s="4">
        <v>2</v>
      </c>
      <c r="K17" s="4">
        <v>4</v>
      </c>
      <c r="L17" s="4">
        <v>4</v>
      </c>
      <c r="M17" s="4">
        <v>4</v>
      </c>
      <c r="N17" s="4">
        <v>1</v>
      </c>
      <c r="O17" s="4">
        <v>2</v>
      </c>
      <c r="P17" s="4">
        <v>3</v>
      </c>
      <c r="Q17" s="4">
        <v>5</v>
      </c>
      <c r="R17" s="4">
        <v>1</v>
      </c>
      <c r="S17" s="4">
        <v>2</v>
      </c>
      <c r="T17" s="4">
        <v>3</v>
      </c>
      <c r="U17" s="5">
        <f t="shared" si="0"/>
        <v>3.3333333333333335</v>
      </c>
      <c r="V17" s="5">
        <f t="shared" si="1"/>
        <v>2.8333333333333335</v>
      </c>
      <c r="W17" s="5">
        <f t="shared" si="2"/>
        <v>2.8</v>
      </c>
      <c r="X17" s="5" t="e">
        <f>#REF!</f>
        <v>#REF!</v>
      </c>
      <c r="Y17" s="5" t="e">
        <f>#REF!</f>
        <v>#REF!</v>
      </c>
      <c r="Z17" s="5" t="e">
        <f>#REF!</f>
        <v>#REF!</v>
      </c>
      <c r="AA17" s="4">
        <f t="shared" si="3"/>
        <v>20</v>
      </c>
      <c r="AB17" s="4">
        <f t="shared" si="4"/>
        <v>17</v>
      </c>
      <c r="AC17" s="4">
        <f t="shared" si="5"/>
        <v>14</v>
      </c>
    </row>
    <row r="18" spans="1:29" ht="20" customHeight="1">
      <c r="A18" s="3">
        <v>16</v>
      </c>
      <c r="B18" s="3" t="s">
        <v>29</v>
      </c>
      <c r="C18" s="3" t="s">
        <v>30</v>
      </c>
      <c r="D18" s="4">
        <v>3</v>
      </c>
      <c r="E18" s="4">
        <v>2</v>
      </c>
      <c r="F18" s="4">
        <v>3</v>
      </c>
      <c r="G18" s="4">
        <v>1</v>
      </c>
      <c r="H18" s="4">
        <v>2</v>
      </c>
      <c r="I18" s="4">
        <v>2</v>
      </c>
      <c r="J18" s="4">
        <v>3</v>
      </c>
      <c r="K18" s="4">
        <v>2</v>
      </c>
      <c r="L18" s="4">
        <v>3</v>
      </c>
      <c r="M18" s="4">
        <v>2</v>
      </c>
      <c r="N18" s="4">
        <v>3</v>
      </c>
      <c r="O18" s="4">
        <v>4</v>
      </c>
      <c r="P18" s="4">
        <v>5</v>
      </c>
      <c r="Q18" s="4">
        <v>2</v>
      </c>
      <c r="R18" s="4">
        <v>5</v>
      </c>
      <c r="S18" s="4">
        <v>4</v>
      </c>
      <c r="T18" s="4">
        <v>3</v>
      </c>
      <c r="U18" s="5">
        <f t="shared" si="0"/>
        <v>2.1666666666666665</v>
      </c>
      <c r="V18" s="5">
        <f t="shared" si="1"/>
        <v>2.8333333333333335</v>
      </c>
      <c r="W18" s="5">
        <f t="shared" si="2"/>
        <v>3.8</v>
      </c>
      <c r="X18" s="5" t="e">
        <f>#REF!</f>
        <v>#REF!</v>
      </c>
      <c r="Y18" s="5" t="e">
        <f>#REF!</f>
        <v>#REF!</v>
      </c>
      <c r="Z18" s="5" t="e">
        <f>#REF!</f>
        <v>#REF!</v>
      </c>
      <c r="AA18" s="4">
        <f t="shared" si="3"/>
        <v>13</v>
      </c>
      <c r="AB18" s="4">
        <f t="shared" si="4"/>
        <v>17</v>
      </c>
      <c r="AC18" s="4">
        <f t="shared" si="5"/>
        <v>19</v>
      </c>
    </row>
    <row r="19" spans="1:29" ht="20" customHeight="1">
      <c r="A19" s="3">
        <v>17</v>
      </c>
      <c r="B19" s="3" t="s">
        <v>29</v>
      </c>
      <c r="C19" s="3" t="s">
        <v>30</v>
      </c>
      <c r="D19" s="4">
        <v>1</v>
      </c>
      <c r="E19" s="4">
        <v>1</v>
      </c>
      <c r="F19" s="4">
        <v>3</v>
      </c>
      <c r="G19" s="4">
        <v>1</v>
      </c>
      <c r="H19" s="4">
        <v>1</v>
      </c>
      <c r="I19" s="4">
        <v>2</v>
      </c>
      <c r="J19" s="4">
        <v>3</v>
      </c>
      <c r="K19" s="4">
        <v>3</v>
      </c>
      <c r="L19" s="4">
        <v>3</v>
      </c>
      <c r="M19" s="4">
        <v>2</v>
      </c>
      <c r="N19" s="4">
        <v>4</v>
      </c>
      <c r="O19" s="4">
        <v>5</v>
      </c>
      <c r="P19" s="4">
        <v>2</v>
      </c>
      <c r="Q19" s="4">
        <v>3</v>
      </c>
      <c r="R19" s="4">
        <v>3</v>
      </c>
      <c r="S19" s="4">
        <v>5</v>
      </c>
      <c r="T19" s="4">
        <v>3</v>
      </c>
      <c r="U19" s="5">
        <f t="shared" si="0"/>
        <v>1.5</v>
      </c>
      <c r="V19" s="5">
        <f t="shared" si="1"/>
        <v>3.3333333333333335</v>
      </c>
      <c r="W19" s="5">
        <f t="shared" si="2"/>
        <v>3.2</v>
      </c>
      <c r="X19" s="5" t="e">
        <f>#REF!</f>
        <v>#REF!</v>
      </c>
      <c r="Y19" s="5" t="e">
        <f>#REF!</f>
        <v>#REF!</v>
      </c>
      <c r="Z19" s="5" t="e">
        <f>#REF!</f>
        <v>#REF!</v>
      </c>
      <c r="AA19" s="4">
        <f t="shared" si="3"/>
        <v>9</v>
      </c>
      <c r="AB19" s="4">
        <f t="shared" si="4"/>
        <v>20</v>
      </c>
      <c r="AC19" s="4">
        <f t="shared" si="5"/>
        <v>16</v>
      </c>
    </row>
    <row r="20" spans="1:29" ht="20" customHeight="1">
      <c r="A20" s="3">
        <v>18</v>
      </c>
      <c r="B20" s="3" t="s">
        <v>29</v>
      </c>
      <c r="C20" s="3" t="s">
        <v>30</v>
      </c>
      <c r="D20" s="4">
        <v>5</v>
      </c>
      <c r="E20" s="4">
        <v>5</v>
      </c>
      <c r="F20" s="4">
        <v>5</v>
      </c>
      <c r="G20" s="4">
        <v>5</v>
      </c>
      <c r="H20" s="4">
        <v>5</v>
      </c>
      <c r="I20" s="4">
        <v>4</v>
      </c>
      <c r="J20" s="4">
        <v>3</v>
      </c>
      <c r="K20" s="4">
        <v>4</v>
      </c>
      <c r="L20" s="4">
        <v>5</v>
      </c>
      <c r="M20" s="4">
        <v>4</v>
      </c>
      <c r="N20" s="4">
        <v>3</v>
      </c>
      <c r="O20" s="4">
        <v>2</v>
      </c>
      <c r="P20" s="4">
        <v>3</v>
      </c>
      <c r="Q20" s="4">
        <v>2</v>
      </c>
      <c r="R20" s="4">
        <v>4</v>
      </c>
      <c r="S20" s="4">
        <v>1</v>
      </c>
      <c r="T20" s="4">
        <v>1</v>
      </c>
      <c r="U20" s="5">
        <f t="shared" si="0"/>
        <v>4.833333333333333</v>
      </c>
      <c r="V20" s="5">
        <f t="shared" si="1"/>
        <v>3.5</v>
      </c>
      <c r="W20" s="5">
        <f t="shared" si="2"/>
        <v>2.2000000000000002</v>
      </c>
      <c r="X20" s="5" t="e">
        <f>#REF!</f>
        <v>#REF!</v>
      </c>
      <c r="Y20" s="5" t="e">
        <f>#REF!</f>
        <v>#REF!</v>
      </c>
      <c r="Z20" s="5" t="e">
        <f>#REF!</f>
        <v>#REF!</v>
      </c>
      <c r="AA20" s="4">
        <f t="shared" si="3"/>
        <v>29</v>
      </c>
      <c r="AB20" s="4">
        <f t="shared" si="4"/>
        <v>21</v>
      </c>
      <c r="AC20" s="4">
        <f t="shared" si="5"/>
        <v>11</v>
      </c>
    </row>
    <row r="21" spans="1:29" ht="20" customHeight="1">
      <c r="A21" s="3">
        <v>19</v>
      </c>
      <c r="B21" s="3" t="s">
        <v>33</v>
      </c>
      <c r="C21" s="3" t="s">
        <v>32</v>
      </c>
      <c r="D21" s="4">
        <v>5</v>
      </c>
      <c r="E21" s="4">
        <v>3</v>
      </c>
      <c r="F21" s="4">
        <v>4</v>
      </c>
      <c r="G21" s="4">
        <v>4</v>
      </c>
      <c r="H21" s="4">
        <v>2</v>
      </c>
      <c r="I21" s="4">
        <v>5</v>
      </c>
      <c r="J21" s="4">
        <v>2</v>
      </c>
      <c r="K21" s="4">
        <v>5</v>
      </c>
      <c r="L21" s="4">
        <v>5</v>
      </c>
      <c r="M21" s="4">
        <v>4</v>
      </c>
      <c r="N21" s="4">
        <v>2</v>
      </c>
      <c r="O21" s="4">
        <v>2</v>
      </c>
      <c r="P21" s="4">
        <v>3</v>
      </c>
      <c r="Q21" s="4">
        <v>3</v>
      </c>
      <c r="R21" s="4">
        <v>4</v>
      </c>
      <c r="S21" s="4">
        <v>1</v>
      </c>
      <c r="T21" s="4">
        <v>3</v>
      </c>
      <c r="U21" s="5">
        <f t="shared" si="0"/>
        <v>3.8333333333333335</v>
      </c>
      <c r="V21" s="5">
        <f t="shared" si="1"/>
        <v>3.3333333333333335</v>
      </c>
      <c r="W21" s="5">
        <f t="shared" si="2"/>
        <v>2.8</v>
      </c>
      <c r="X21" s="5" t="e">
        <f>#REF!</f>
        <v>#REF!</v>
      </c>
      <c r="Y21" s="5" t="e">
        <f>#REF!</f>
        <v>#REF!</v>
      </c>
      <c r="Z21" s="5" t="e">
        <f>#REF!</f>
        <v>#REF!</v>
      </c>
      <c r="AA21" s="4">
        <f t="shared" si="3"/>
        <v>23</v>
      </c>
      <c r="AB21" s="4">
        <f t="shared" si="4"/>
        <v>20</v>
      </c>
      <c r="AC21" s="4">
        <f t="shared" si="5"/>
        <v>14</v>
      </c>
    </row>
    <row r="22" spans="1:29" ht="20" customHeight="1">
      <c r="A22" s="3">
        <v>20</v>
      </c>
      <c r="B22" s="3" t="s">
        <v>27</v>
      </c>
      <c r="C22" s="3" t="s">
        <v>32</v>
      </c>
      <c r="D22" s="4">
        <v>4</v>
      </c>
      <c r="E22" s="4">
        <v>5</v>
      </c>
      <c r="F22" s="4">
        <v>4</v>
      </c>
      <c r="G22" s="4">
        <v>5</v>
      </c>
      <c r="H22" s="4">
        <v>2</v>
      </c>
      <c r="I22" s="4">
        <v>4</v>
      </c>
      <c r="J22" s="4">
        <v>3</v>
      </c>
      <c r="K22" s="4">
        <v>4</v>
      </c>
      <c r="L22" s="4">
        <v>2</v>
      </c>
      <c r="M22" s="4">
        <v>3</v>
      </c>
      <c r="N22" s="4">
        <v>3</v>
      </c>
      <c r="O22" s="4">
        <v>3</v>
      </c>
      <c r="P22" s="4">
        <v>1</v>
      </c>
      <c r="Q22" s="4">
        <v>4</v>
      </c>
      <c r="R22" s="4">
        <v>1</v>
      </c>
      <c r="S22" s="4">
        <v>2</v>
      </c>
      <c r="T22" s="4">
        <v>5</v>
      </c>
      <c r="U22" s="5">
        <f t="shared" si="0"/>
        <v>4</v>
      </c>
      <c r="V22" s="5">
        <f t="shared" si="1"/>
        <v>3</v>
      </c>
      <c r="W22" s="5">
        <f t="shared" si="2"/>
        <v>2.6</v>
      </c>
      <c r="X22" s="5" t="e">
        <f>#REF!</f>
        <v>#REF!</v>
      </c>
      <c r="Y22" s="5" t="e">
        <f>#REF!</f>
        <v>#REF!</v>
      </c>
      <c r="Z22" s="5" t="e">
        <f>#REF!</f>
        <v>#REF!</v>
      </c>
      <c r="AA22" s="4">
        <f t="shared" si="3"/>
        <v>24</v>
      </c>
      <c r="AB22" s="4">
        <f t="shared" si="4"/>
        <v>18</v>
      </c>
      <c r="AC22" s="4">
        <f t="shared" si="5"/>
        <v>13</v>
      </c>
    </row>
    <row r="23" spans="1:29" ht="20" customHeight="1">
      <c r="A23" s="3">
        <v>21</v>
      </c>
      <c r="B23" s="3" t="s">
        <v>29</v>
      </c>
      <c r="C23" s="3" t="s">
        <v>30</v>
      </c>
      <c r="D23" s="4">
        <v>3</v>
      </c>
      <c r="E23" s="4">
        <v>2</v>
      </c>
      <c r="F23" s="4">
        <v>5</v>
      </c>
      <c r="G23" s="4">
        <v>3</v>
      </c>
      <c r="H23" s="4">
        <v>3</v>
      </c>
      <c r="I23" s="4">
        <v>2</v>
      </c>
      <c r="J23" s="4">
        <v>3</v>
      </c>
      <c r="K23" s="4">
        <v>4</v>
      </c>
      <c r="L23" s="4">
        <v>4</v>
      </c>
      <c r="M23" s="4">
        <v>3</v>
      </c>
      <c r="N23" s="4">
        <v>3</v>
      </c>
      <c r="O23" s="4">
        <v>2</v>
      </c>
      <c r="P23" s="4">
        <v>3</v>
      </c>
      <c r="Q23" s="4">
        <v>3</v>
      </c>
      <c r="R23" s="4">
        <v>5</v>
      </c>
      <c r="S23" s="4">
        <v>2</v>
      </c>
      <c r="T23" s="4">
        <v>1</v>
      </c>
      <c r="U23" s="5">
        <f t="shared" si="0"/>
        <v>3</v>
      </c>
      <c r="V23" s="5">
        <f t="shared" si="1"/>
        <v>3.1666666666666665</v>
      </c>
      <c r="W23" s="5">
        <f t="shared" si="2"/>
        <v>2.8</v>
      </c>
      <c r="X23" s="5" t="e">
        <f>#REF!</f>
        <v>#REF!</v>
      </c>
      <c r="Y23" s="5" t="e">
        <f>#REF!</f>
        <v>#REF!</v>
      </c>
      <c r="Z23" s="5" t="e">
        <f>#REF!</f>
        <v>#REF!</v>
      </c>
      <c r="AA23" s="4">
        <f t="shared" si="3"/>
        <v>18</v>
      </c>
      <c r="AB23" s="4">
        <f t="shared" si="4"/>
        <v>19</v>
      </c>
      <c r="AC23" s="4">
        <f t="shared" si="5"/>
        <v>14</v>
      </c>
    </row>
    <row r="24" spans="1:29" ht="20" customHeight="1">
      <c r="A24" s="3">
        <v>22</v>
      </c>
      <c r="B24" s="3" t="s">
        <v>34</v>
      </c>
      <c r="C24" s="3" t="s">
        <v>32</v>
      </c>
      <c r="D24" s="4">
        <v>3</v>
      </c>
      <c r="E24" s="4">
        <v>3</v>
      </c>
      <c r="F24" s="4">
        <v>3</v>
      </c>
      <c r="G24" s="4">
        <v>3</v>
      </c>
      <c r="H24" s="4">
        <v>5</v>
      </c>
      <c r="I24" s="4">
        <v>4</v>
      </c>
      <c r="J24" s="4">
        <v>1</v>
      </c>
      <c r="K24" s="4">
        <v>5</v>
      </c>
      <c r="L24" s="4">
        <v>5</v>
      </c>
      <c r="M24" s="4">
        <v>5</v>
      </c>
      <c r="N24" s="4">
        <v>1</v>
      </c>
      <c r="O24" s="4">
        <v>1</v>
      </c>
      <c r="P24" s="4">
        <v>1</v>
      </c>
      <c r="Q24" s="4">
        <v>4</v>
      </c>
      <c r="R24" s="4">
        <v>1</v>
      </c>
      <c r="S24" s="4">
        <v>1</v>
      </c>
      <c r="T24" s="4">
        <v>5</v>
      </c>
      <c r="U24" s="5">
        <f t="shared" si="0"/>
        <v>3.5</v>
      </c>
      <c r="V24" s="5">
        <f t="shared" si="1"/>
        <v>3</v>
      </c>
      <c r="W24" s="5">
        <f t="shared" si="2"/>
        <v>2.4</v>
      </c>
      <c r="X24" s="5" t="e">
        <f>#REF!</f>
        <v>#REF!</v>
      </c>
      <c r="Y24" s="5" t="e">
        <f>#REF!</f>
        <v>#REF!</v>
      </c>
      <c r="Z24" s="5" t="e">
        <f>#REF!</f>
        <v>#REF!</v>
      </c>
      <c r="AA24" s="4">
        <f t="shared" si="3"/>
        <v>21</v>
      </c>
      <c r="AB24" s="4">
        <f t="shared" si="4"/>
        <v>18</v>
      </c>
      <c r="AC24" s="4">
        <f t="shared" si="5"/>
        <v>12</v>
      </c>
    </row>
    <row r="25" spans="1:29" ht="20" customHeight="1">
      <c r="A25" s="3">
        <v>23</v>
      </c>
      <c r="B25" s="3" t="s">
        <v>27</v>
      </c>
      <c r="C25" s="3" t="s">
        <v>32</v>
      </c>
      <c r="D25" s="4">
        <v>4</v>
      </c>
      <c r="E25" s="4">
        <v>3</v>
      </c>
      <c r="F25" s="4">
        <v>4</v>
      </c>
      <c r="G25" s="4">
        <v>5</v>
      </c>
      <c r="H25" s="4">
        <v>3</v>
      </c>
      <c r="I25" s="4">
        <v>3</v>
      </c>
      <c r="J25" s="4">
        <v>1</v>
      </c>
      <c r="K25" s="4">
        <v>5</v>
      </c>
      <c r="L25" s="4">
        <v>5</v>
      </c>
      <c r="M25" s="4">
        <v>5</v>
      </c>
      <c r="N25" s="4">
        <v>1</v>
      </c>
      <c r="O25" s="4">
        <v>1</v>
      </c>
      <c r="P25" s="4">
        <v>2</v>
      </c>
      <c r="Q25" s="4">
        <v>2</v>
      </c>
      <c r="R25" s="4">
        <v>3</v>
      </c>
      <c r="S25" s="4">
        <v>2</v>
      </c>
      <c r="T25" s="4">
        <v>1</v>
      </c>
      <c r="U25" s="5">
        <f t="shared" si="0"/>
        <v>3.6666666666666665</v>
      </c>
      <c r="V25" s="5">
        <f t="shared" si="1"/>
        <v>3</v>
      </c>
      <c r="W25" s="5">
        <f t="shared" si="2"/>
        <v>2</v>
      </c>
      <c r="X25" s="5" t="e">
        <f>#REF!</f>
        <v>#REF!</v>
      </c>
      <c r="Y25" s="5" t="e">
        <f>#REF!</f>
        <v>#REF!</v>
      </c>
      <c r="Z25" s="5" t="e">
        <f>#REF!</f>
        <v>#REF!</v>
      </c>
      <c r="AA25" s="4">
        <f t="shared" si="3"/>
        <v>22</v>
      </c>
      <c r="AB25" s="4">
        <f t="shared" si="4"/>
        <v>18</v>
      </c>
      <c r="AC25" s="4">
        <f t="shared" si="5"/>
        <v>10</v>
      </c>
    </row>
    <row r="26" spans="1:29" ht="20" customHeight="1">
      <c r="A26" s="3">
        <v>24</v>
      </c>
      <c r="B26" s="3" t="s">
        <v>34</v>
      </c>
      <c r="C26" s="3" t="s">
        <v>30</v>
      </c>
      <c r="D26" s="4">
        <v>5</v>
      </c>
      <c r="E26" s="4">
        <v>4</v>
      </c>
      <c r="F26" s="4">
        <v>3</v>
      </c>
      <c r="G26" s="4">
        <v>3</v>
      </c>
      <c r="H26" s="4">
        <v>4</v>
      </c>
      <c r="I26" s="4">
        <v>2</v>
      </c>
      <c r="J26" s="4">
        <v>3</v>
      </c>
      <c r="K26" s="4">
        <v>3</v>
      </c>
      <c r="L26" s="4">
        <v>3</v>
      </c>
      <c r="M26" s="4">
        <v>3</v>
      </c>
      <c r="N26" s="4">
        <v>3</v>
      </c>
      <c r="O26" s="4">
        <v>3</v>
      </c>
      <c r="P26" s="4">
        <v>2</v>
      </c>
      <c r="Q26" s="4">
        <v>3</v>
      </c>
      <c r="R26" s="4">
        <v>5</v>
      </c>
      <c r="S26" s="4">
        <v>3</v>
      </c>
      <c r="T26" s="4">
        <v>2</v>
      </c>
      <c r="U26" s="5">
        <f t="shared" si="0"/>
        <v>3.5</v>
      </c>
      <c r="V26" s="5">
        <f t="shared" si="1"/>
        <v>3</v>
      </c>
      <c r="W26" s="5">
        <f t="shared" si="2"/>
        <v>3</v>
      </c>
      <c r="X26" s="5" t="e">
        <f>#REF!</f>
        <v>#REF!</v>
      </c>
      <c r="Y26" s="5" t="e">
        <f>#REF!</f>
        <v>#REF!</v>
      </c>
      <c r="Z26" s="5" t="e">
        <f>#REF!</f>
        <v>#REF!</v>
      </c>
      <c r="AA26" s="4">
        <f t="shared" si="3"/>
        <v>21</v>
      </c>
      <c r="AB26" s="4">
        <f t="shared" si="4"/>
        <v>18</v>
      </c>
      <c r="AC26" s="4">
        <f t="shared" si="5"/>
        <v>15</v>
      </c>
    </row>
    <row r="27" spans="1:29" ht="20" customHeight="1">
      <c r="A27" s="3">
        <v>25</v>
      </c>
      <c r="B27" s="3" t="s">
        <v>31</v>
      </c>
      <c r="C27" s="3" t="s">
        <v>32</v>
      </c>
      <c r="D27" s="4">
        <v>1</v>
      </c>
      <c r="E27" s="4">
        <v>3</v>
      </c>
      <c r="F27" s="4">
        <v>5</v>
      </c>
      <c r="G27" s="4">
        <v>4</v>
      </c>
      <c r="H27" s="4">
        <v>3</v>
      </c>
      <c r="I27" s="4">
        <v>3</v>
      </c>
      <c r="J27" s="4">
        <v>2</v>
      </c>
      <c r="K27" s="4">
        <v>4</v>
      </c>
      <c r="L27" s="4">
        <v>4</v>
      </c>
      <c r="M27" s="4">
        <v>4</v>
      </c>
      <c r="N27" s="4">
        <v>2</v>
      </c>
      <c r="O27" s="4">
        <v>1</v>
      </c>
      <c r="P27" s="4">
        <v>4</v>
      </c>
      <c r="Q27" s="4">
        <v>4</v>
      </c>
      <c r="R27" s="4">
        <v>3</v>
      </c>
      <c r="S27" s="4">
        <v>3</v>
      </c>
      <c r="T27" s="4">
        <v>4</v>
      </c>
      <c r="U27" s="5">
        <f t="shared" si="0"/>
        <v>3.1666666666666665</v>
      </c>
      <c r="V27" s="5">
        <f t="shared" si="1"/>
        <v>2.8333333333333335</v>
      </c>
      <c r="W27" s="5">
        <f t="shared" si="2"/>
        <v>3.6</v>
      </c>
      <c r="X27" s="5" t="e">
        <f>#REF!</f>
        <v>#REF!</v>
      </c>
      <c r="Y27" s="5" t="e">
        <f>#REF!</f>
        <v>#REF!</v>
      </c>
      <c r="Z27" s="5" t="e">
        <f>#REF!</f>
        <v>#REF!</v>
      </c>
      <c r="AA27" s="4">
        <f t="shared" si="3"/>
        <v>19</v>
      </c>
      <c r="AB27" s="4">
        <f t="shared" si="4"/>
        <v>17</v>
      </c>
      <c r="AC27" s="4">
        <f t="shared" si="5"/>
        <v>18</v>
      </c>
    </row>
    <row r="28" spans="1:29" ht="20" customHeight="1">
      <c r="A28" s="3">
        <v>26</v>
      </c>
      <c r="B28" s="3" t="s">
        <v>34</v>
      </c>
      <c r="C28" s="3" t="s">
        <v>32</v>
      </c>
      <c r="D28" s="4">
        <v>3</v>
      </c>
      <c r="E28" s="4">
        <v>1</v>
      </c>
      <c r="F28" s="4">
        <v>3</v>
      </c>
      <c r="G28" s="4">
        <v>4</v>
      </c>
      <c r="H28" s="4">
        <v>3</v>
      </c>
      <c r="I28" s="4">
        <v>2</v>
      </c>
      <c r="J28" s="4">
        <v>3</v>
      </c>
      <c r="K28" s="4">
        <v>4</v>
      </c>
      <c r="L28" s="4">
        <v>4</v>
      </c>
      <c r="M28" s="4">
        <v>4</v>
      </c>
      <c r="N28" s="4">
        <v>2</v>
      </c>
      <c r="O28" s="4">
        <v>2</v>
      </c>
      <c r="P28" s="4">
        <v>2</v>
      </c>
      <c r="Q28" s="4">
        <v>4</v>
      </c>
      <c r="R28" s="4">
        <v>1</v>
      </c>
      <c r="S28" s="4">
        <v>2</v>
      </c>
      <c r="T28" s="4">
        <v>5</v>
      </c>
      <c r="U28" s="5">
        <f t="shared" si="0"/>
        <v>2.6666666666666665</v>
      </c>
      <c r="V28" s="5">
        <f t="shared" si="1"/>
        <v>3.1666666666666665</v>
      </c>
      <c r="W28" s="5">
        <f t="shared" si="2"/>
        <v>2.8</v>
      </c>
      <c r="X28" s="5" t="e">
        <f>#REF!</f>
        <v>#REF!</v>
      </c>
      <c r="Y28" s="5" t="e">
        <f>#REF!</f>
        <v>#REF!</v>
      </c>
      <c r="Z28" s="5" t="e">
        <f>#REF!</f>
        <v>#REF!</v>
      </c>
      <c r="AA28" s="4">
        <f t="shared" si="3"/>
        <v>16</v>
      </c>
      <c r="AB28" s="4">
        <f t="shared" si="4"/>
        <v>19</v>
      </c>
      <c r="AC28" s="4">
        <f t="shared" si="5"/>
        <v>14</v>
      </c>
    </row>
    <row r="29" spans="1:29" ht="20" customHeight="1">
      <c r="A29" s="3">
        <v>27</v>
      </c>
      <c r="B29" s="3" t="s">
        <v>31</v>
      </c>
      <c r="C29" s="3" t="s">
        <v>28</v>
      </c>
      <c r="D29" s="4">
        <v>3</v>
      </c>
      <c r="E29" s="4">
        <v>4</v>
      </c>
      <c r="F29" s="4">
        <v>4</v>
      </c>
      <c r="G29" s="4">
        <v>4</v>
      </c>
      <c r="H29" s="4">
        <v>5</v>
      </c>
      <c r="I29" s="4">
        <v>2</v>
      </c>
      <c r="J29" s="4">
        <v>4</v>
      </c>
      <c r="K29" s="4">
        <v>1</v>
      </c>
      <c r="L29" s="4">
        <v>3</v>
      </c>
      <c r="M29" s="4">
        <v>2</v>
      </c>
      <c r="N29" s="4">
        <v>4</v>
      </c>
      <c r="O29" s="4">
        <v>3</v>
      </c>
      <c r="P29" s="4">
        <v>2</v>
      </c>
      <c r="Q29" s="4">
        <v>3</v>
      </c>
      <c r="R29" s="4">
        <v>4</v>
      </c>
      <c r="S29" s="4">
        <v>3</v>
      </c>
      <c r="T29" s="4">
        <v>2</v>
      </c>
      <c r="U29" s="5">
        <f t="shared" si="0"/>
        <v>3.6666666666666665</v>
      </c>
      <c r="V29" s="5">
        <f t="shared" si="1"/>
        <v>2.8333333333333335</v>
      </c>
      <c r="W29" s="5">
        <f t="shared" si="2"/>
        <v>2.8</v>
      </c>
      <c r="X29" s="5" t="e">
        <f>#REF!</f>
        <v>#REF!</v>
      </c>
      <c r="Y29" s="5" t="e">
        <f>#REF!</f>
        <v>#REF!</v>
      </c>
      <c r="Z29" s="5" t="e">
        <f>#REF!</f>
        <v>#REF!</v>
      </c>
      <c r="AA29" s="4">
        <f t="shared" si="3"/>
        <v>22</v>
      </c>
      <c r="AB29" s="4">
        <f t="shared" si="4"/>
        <v>17</v>
      </c>
      <c r="AC29" s="4">
        <f t="shared" si="5"/>
        <v>14</v>
      </c>
    </row>
    <row r="30" spans="1:29" ht="20" customHeight="1">
      <c r="A30" s="3">
        <v>28</v>
      </c>
      <c r="B30" s="3" t="s">
        <v>31</v>
      </c>
      <c r="C30" s="3" t="s">
        <v>30</v>
      </c>
      <c r="D30" s="4">
        <v>5</v>
      </c>
      <c r="E30" s="4">
        <v>4</v>
      </c>
      <c r="F30" s="4">
        <v>3</v>
      </c>
      <c r="G30" s="4">
        <v>4</v>
      </c>
      <c r="H30" s="4">
        <v>5</v>
      </c>
      <c r="I30" s="4">
        <v>3</v>
      </c>
      <c r="J30" s="4">
        <v>2</v>
      </c>
      <c r="K30" s="4">
        <v>5</v>
      </c>
      <c r="L30" s="4">
        <v>4</v>
      </c>
      <c r="M30" s="4">
        <v>4</v>
      </c>
      <c r="N30" s="4">
        <v>1</v>
      </c>
      <c r="O30" s="4">
        <v>2</v>
      </c>
      <c r="P30" s="4">
        <v>1</v>
      </c>
      <c r="Q30" s="4">
        <v>4</v>
      </c>
      <c r="R30" s="4">
        <v>4</v>
      </c>
      <c r="S30" s="4">
        <v>4</v>
      </c>
      <c r="T30" s="4">
        <v>3</v>
      </c>
      <c r="U30" s="5">
        <f t="shared" si="0"/>
        <v>4</v>
      </c>
      <c r="V30" s="5">
        <f t="shared" si="1"/>
        <v>3</v>
      </c>
      <c r="W30" s="5">
        <f t="shared" si="2"/>
        <v>3.2</v>
      </c>
      <c r="X30" s="5" t="e">
        <f>#REF!</f>
        <v>#REF!</v>
      </c>
      <c r="Y30" s="5" t="e">
        <f>#REF!</f>
        <v>#REF!</v>
      </c>
      <c r="Z30" s="5" t="e">
        <f>#REF!</f>
        <v>#REF!</v>
      </c>
      <c r="AA30" s="4">
        <f t="shared" si="3"/>
        <v>24</v>
      </c>
      <c r="AB30" s="4">
        <f t="shared" si="4"/>
        <v>18</v>
      </c>
      <c r="AC30" s="4">
        <f t="shared" si="5"/>
        <v>16</v>
      </c>
    </row>
    <row r="31" spans="1:29" ht="20" customHeight="1">
      <c r="A31" s="3">
        <v>29</v>
      </c>
      <c r="B31" s="3" t="s">
        <v>34</v>
      </c>
      <c r="C31" s="3" t="s">
        <v>28</v>
      </c>
      <c r="D31" s="4">
        <v>1</v>
      </c>
      <c r="E31" s="4">
        <v>4</v>
      </c>
      <c r="F31" s="4">
        <v>2</v>
      </c>
      <c r="G31" s="4">
        <v>1</v>
      </c>
      <c r="H31" s="4">
        <v>1</v>
      </c>
      <c r="I31" s="4">
        <v>1</v>
      </c>
      <c r="J31" s="4">
        <v>4</v>
      </c>
      <c r="K31" s="4">
        <v>2</v>
      </c>
      <c r="L31" s="4">
        <v>2</v>
      </c>
      <c r="M31" s="4">
        <v>1</v>
      </c>
      <c r="N31" s="4">
        <v>4</v>
      </c>
      <c r="O31" s="4">
        <v>5</v>
      </c>
      <c r="P31" s="4">
        <v>2</v>
      </c>
      <c r="Q31" s="4">
        <v>2</v>
      </c>
      <c r="R31" s="4">
        <v>4</v>
      </c>
      <c r="S31" s="4">
        <v>5</v>
      </c>
      <c r="T31" s="4">
        <v>1</v>
      </c>
      <c r="U31" s="5">
        <f t="shared" si="0"/>
        <v>1.6666666666666667</v>
      </c>
      <c r="V31" s="5">
        <f t="shared" si="1"/>
        <v>3</v>
      </c>
      <c r="W31" s="5">
        <f t="shared" si="2"/>
        <v>2.8</v>
      </c>
      <c r="X31" s="5" t="e">
        <f>#REF!</f>
        <v>#REF!</v>
      </c>
      <c r="Y31" s="5" t="e">
        <f>#REF!</f>
        <v>#REF!</v>
      </c>
      <c r="Z31" s="5" t="e">
        <f>#REF!</f>
        <v>#REF!</v>
      </c>
      <c r="AA31" s="4">
        <f t="shared" si="3"/>
        <v>10</v>
      </c>
      <c r="AB31" s="4">
        <f t="shared" si="4"/>
        <v>18</v>
      </c>
      <c r="AC31" s="4">
        <f t="shared" si="5"/>
        <v>14</v>
      </c>
    </row>
    <row r="32" spans="1:29" ht="20" customHeight="1">
      <c r="A32" s="3">
        <v>30</v>
      </c>
      <c r="B32" s="3" t="s">
        <v>34</v>
      </c>
      <c r="C32" s="3" t="s">
        <v>32</v>
      </c>
      <c r="D32" s="4">
        <v>5</v>
      </c>
      <c r="E32" s="4">
        <v>3</v>
      </c>
      <c r="F32" s="4">
        <v>4</v>
      </c>
      <c r="G32" s="4">
        <v>5</v>
      </c>
      <c r="H32" s="4">
        <v>4</v>
      </c>
      <c r="I32" s="4">
        <v>5</v>
      </c>
      <c r="J32" s="4">
        <v>2</v>
      </c>
      <c r="K32" s="4">
        <v>4</v>
      </c>
      <c r="L32" s="4">
        <v>5</v>
      </c>
      <c r="M32" s="4">
        <v>4</v>
      </c>
      <c r="N32" s="4">
        <v>2</v>
      </c>
      <c r="O32" s="4">
        <v>2</v>
      </c>
      <c r="P32" s="4">
        <v>4</v>
      </c>
      <c r="Q32" s="4">
        <v>4</v>
      </c>
      <c r="R32" s="4">
        <v>2</v>
      </c>
      <c r="S32" s="4">
        <v>2</v>
      </c>
      <c r="T32" s="4">
        <v>5</v>
      </c>
      <c r="U32" s="5">
        <f t="shared" si="0"/>
        <v>4.333333333333333</v>
      </c>
      <c r="V32" s="5">
        <f t="shared" si="1"/>
        <v>3.1666666666666665</v>
      </c>
      <c r="W32" s="5">
        <f t="shared" si="2"/>
        <v>3.4</v>
      </c>
      <c r="X32" s="5" t="e">
        <f>#REF!</f>
        <v>#REF!</v>
      </c>
      <c r="Y32" s="5" t="e">
        <f>#REF!</f>
        <v>#REF!</v>
      </c>
      <c r="Z32" s="5" t="e">
        <f>#REF!</f>
        <v>#REF!</v>
      </c>
      <c r="AA32" s="4">
        <f t="shared" si="3"/>
        <v>26</v>
      </c>
      <c r="AB32" s="4">
        <f t="shared" si="4"/>
        <v>19</v>
      </c>
      <c r="AC32" s="4">
        <f t="shared" si="5"/>
        <v>17</v>
      </c>
    </row>
    <row r="33" spans="1:28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</sheetData>
  <phoneticPr fontId="4" type="noConversion"/>
  <dataValidations count="1">
    <dataValidation type="list" sqref="D3:T32" xr:uid="{00000000-0002-0000-0100-000000000000}">
      <formula1>"1,2,3,4,5"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4"/>
  <sheetViews>
    <sheetView tabSelected="1" workbookViewId="0">
      <pane xSplit="3" ySplit="1" topLeftCell="P10" activePane="bottomRight" state="frozen"/>
      <selection pane="topRight"/>
      <selection pane="bottomLeft"/>
      <selection pane="bottomRight" activeCell="AH1" sqref="AH1"/>
    </sheetView>
  </sheetViews>
  <sheetFormatPr defaultRowHeight="13.5"/>
  <cols>
    <col min="1" max="1" width="9" style="8"/>
    <col min="2" max="2" width="14.8125" style="8" customWidth="1"/>
    <col min="3" max="3" width="20" style="8" customWidth="1"/>
    <col min="4" max="23" width="7" style="8" customWidth="1"/>
    <col min="24" max="35" width="13" style="8" customWidth="1"/>
    <col min="36" max="16384" width="9" style="8"/>
  </cols>
  <sheetData>
    <row r="1" spans="1:35" ht="42" customHeight="1">
      <c r="A1" s="6" t="s">
        <v>69</v>
      </c>
      <c r="B1" s="7" t="s">
        <v>0</v>
      </c>
      <c r="C1" s="7" t="s">
        <v>71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7" t="s">
        <v>49</v>
      </c>
      <c r="S1" s="7" t="s">
        <v>50</v>
      </c>
      <c r="T1" s="7" t="s">
        <v>51</v>
      </c>
      <c r="U1" s="7" t="s">
        <v>52</v>
      </c>
      <c r="V1" s="7" t="s">
        <v>53</v>
      </c>
      <c r="W1" s="7" t="s">
        <v>54</v>
      </c>
      <c r="X1" s="7" t="s">
        <v>55</v>
      </c>
      <c r="Y1" s="7" t="s">
        <v>56</v>
      </c>
      <c r="Z1" s="7" t="s">
        <v>57</v>
      </c>
      <c r="AA1" s="7" t="s">
        <v>58</v>
      </c>
      <c r="AB1" s="7" t="s">
        <v>59</v>
      </c>
      <c r="AC1" s="7" t="s">
        <v>60</v>
      </c>
      <c r="AD1" s="7" t="s">
        <v>61</v>
      </c>
      <c r="AE1" s="7" t="s">
        <v>62</v>
      </c>
      <c r="AF1" s="7" t="s">
        <v>63</v>
      </c>
      <c r="AG1" s="7" t="s">
        <v>64</v>
      </c>
      <c r="AH1" s="7" t="s">
        <v>65</v>
      </c>
      <c r="AI1" s="7" t="s">
        <v>72</v>
      </c>
    </row>
    <row r="2" spans="1:35" ht="20" customHeight="1">
      <c r="A2" s="8">
        <v>1</v>
      </c>
      <c r="B2" s="3" t="s">
        <v>31</v>
      </c>
      <c r="C2" s="3" t="s">
        <v>66</v>
      </c>
      <c r="D2" s="4">
        <v>3</v>
      </c>
      <c r="E2" s="4">
        <v>4</v>
      </c>
      <c r="F2" s="4">
        <v>4</v>
      </c>
      <c r="G2" s="4">
        <v>4</v>
      </c>
      <c r="H2" s="4">
        <v>4</v>
      </c>
      <c r="I2" s="4">
        <v>3</v>
      </c>
      <c r="J2" s="4">
        <v>4</v>
      </c>
      <c r="K2" s="4">
        <v>5</v>
      </c>
      <c r="L2" s="4">
        <v>3</v>
      </c>
      <c r="M2" s="4">
        <v>3</v>
      </c>
      <c r="N2" s="4">
        <v>5</v>
      </c>
      <c r="O2" s="4">
        <v>4</v>
      </c>
      <c r="P2" s="4">
        <v>5</v>
      </c>
      <c r="Q2" s="4">
        <v>4</v>
      </c>
      <c r="R2" s="4">
        <v>5</v>
      </c>
      <c r="S2" s="4">
        <v>3</v>
      </c>
      <c r="T2" s="4">
        <v>3</v>
      </c>
      <c r="U2" s="4">
        <v>4</v>
      </c>
      <c r="V2" s="4">
        <v>4</v>
      </c>
      <c r="W2" s="4">
        <v>3</v>
      </c>
      <c r="X2" s="5">
        <f t="shared" ref="X2:X33" si="0">AVERAGE(D2:H2)</f>
        <v>3.8</v>
      </c>
      <c r="Y2" s="5">
        <f t="shared" ref="Y2:Y33" si="1">AVERAGE(I2:M2)</f>
        <v>3.6</v>
      </c>
      <c r="Z2" s="5">
        <f t="shared" ref="Z2:Z33" si="2">AVERAGE(N2:R2)</f>
        <v>4.5999999999999996</v>
      </c>
      <c r="AA2" s="5">
        <f t="shared" ref="AA2:AA33" si="3">AVERAGE(S2:W2)</f>
        <v>3.4</v>
      </c>
      <c r="AB2" s="4">
        <f t="shared" ref="AB2:AB33" si="4">SUM(D2:H2)</f>
        <v>19</v>
      </c>
      <c r="AC2" s="4">
        <f t="shared" ref="AC2:AC33" si="5">SUM(I2:M2)</f>
        <v>18</v>
      </c>
      <c r="AD2" s="4">
        <f t="shared" ref="AD2:AD33" si="6">SUM(N2:R2)</f>
        <v>23</v>
      </c>
      <c r="AE2" s="4">
        <f t="shared" ref="AE2:AE33" si="7">SUM(S2:W2)</f>
        <v>17</v>
      </c>
      <c r="AF2" s="9">
        <f t="shared" ref="AF2:AF33" si="8">X2^2</f>
        <v>14.44</v>
      </c>
      <c r="AG2" s="9">
        <f t="shared" ref="AG2:AG33" si="9">Y2^2</f>
        <v>12.96</v>
      </c>
      <c r="AH2" s="9">
        <f t="shared" ref="AH2:AH33" si="10">Z2^2</f>
        <v>21.159999999999997</v>
      </c>
      <c r="AI2" s="9">
        <f t="shared" ref="AI2:AI33" si="11">AA2^2</f>
        <v>11.559999999999999</v>
      </c>
    </row>
    <row r="3" spans="1:35" ht="20" customHeight="1">
      <c r="A3" s="8">
        <v>2</v>
      </c>
      <c r="B3" s="3" t="s">
        <v>29</v>
      </c>
      <c r="C3" s="3" t="s">
        <v>67</v>
      </c>
      <c r="D3" s="4">
        <v>4</v>
      </c>
      <c r="E3" s="4">
        <v>4</v>
      </c>
      <c r="F3" s="4">
        <v>4</v>
      </c>
      <c r="G3" s="4">
        <v>4</v>
      </c>
      <c r="H3" s="4">
        <v>4</v>
      </c>
      <c r="I3" s="4">
        <v>5</v>
      </c>
      <c r="J3" s="4">
        <v>5</v>
      </c>
      <c r="K3" s="4">
        <v>5</v>
      </c>
      <c r="L3" s="4">
        <v>5</v>
      </c>
      <c r="M3" s="4">
        <v>3</v>
      </c>
      <c r="N3" s="4">
        <v>3</v>
      </c>
      <c r="O3" s="4">
        <v>4</v>
      </c>
      <c r="P3" s="4">
        <v>5</v>
      </c>
      <c r="Q3" s="4">
        <v>4</v>
      </c>
      <c r="R3" s="4">
        <v>3</v>
      </c>
      <c r="S3" s="4">
        <v>1</v>
      </c>
      <c r="T3" s="4">
        <v>2</v>
      </c>
      <c r="U3" s="4">
        <v>2</v>
      </c>
      <c r="V3" s="4">
        <v>2</v>
      </c>
      <c r="W3" s="4">
        <v>2</v>
      </c>
      <c r="X3" s="5">
        <f t="shared" si="0"/>
        <v>4</v>
      </c>
      <c r="Y3" s="5">
        <f t="shared" si="1"/>
        <v>4.5999999999999996</v>
      </c>
      <c r="Z3" s="5">
        <f t="shared" si="2"/>
        <v>3.8</v>
      </c>
      <c r="AA3" s="5">
        <f t="shared" si="3"/>
        <v>1.8</v>
      </c>
      <c r="AB3" s="4">
        <f t="shared" si="4"/>
        <v>20</v>
      </c>
      <c r="AC3" s="4">
        <f t="shared" si="5"/>
        <v>23</v>
      </c>
      <c r="AD3" s="4">
        <f t="shared" si="6"/>
        <v>19</v>
      </c>
      <c r="AE3" s="4">
        <f t="shared" si="7"/>
        <v>9</v>
      </c>
      <c r="AF3" s="9">
        <f t="shared" si="8"/>
        <v>16</v>
      </c>
      <c r="AG3" s="9">
        <f t="shared" si="9"/>
        <v>21.159999999999997</v>
      </c>
      <c r="AH3" s="9">
        <f t="shared" si="10"/>
        <v>14.44</v>
      </c>
      <c r="AI3" s="9">
        <f t="shared" si="11"/>
        <v>3.24</v>
      </c>
    </row>
    <row r="4" spans="1:35" ht="20" customHeight="1">
      <c r="A4" s="8">
        <v>3</v>
      </c>
      <c r="B4" s="3" t="s">
        <v>31</v>
      </c>
      <c r="C4" s="3" t="s">
        <v>68</v>
      </c>
      <c r="D4" s="4">
        <v>4</v>
      </c>
      <c r="E4" s="4">
        <v>4</v>
      </c>
      <c r="F4" s="4">
        <v>5</v>
      </c>
      <c r="G4" s="4">
        <v>4</v>
      </c>
      <c r="H4" s="4">
        <v>4</v>
      </c>
      <c r="I4" s="4">
        <v>5</v>
      </c>
      <c r="J4" s="4">
        <v>3</v>
      </c>
      <c r="K4" s="4">
        <v>4</v>
      </c>
      <c r="L4" s="4">
        <v>4</v>
      </c>
      <c r="M4" s="4">
        <v>4</v>
      </c>
      <c r="N4" s="4">
        <v>5</v>
      </c>
      <c r="O4" s="4">
        <v>5</v>
      </c>
      <c r="P4" s="4">
        <v>4</v>
      </c>
      <c r="Q4" s="4">
        <v>5</v>
      </c>
      <c r="R4" s="4">
        <v>4</v>
      </c>
      <c r="S4" s="4">
        <v>4</v>
      </c>
      <c r="T4" s="4">
        <v>4</v>
      </c>
      <c r="U4" s="4">
        <v>3</v>
      </c>
      <c r="V4" s="4">
        <v>4</v>
      </c>
      <c r="W4" s="4">
        <v>4</v>
      </c>
      <c r="X4" s="5">
        <f t="shared" si="0"/>
        <v>4.2</v>
      </c>
      <c r="Y4" s="5">
        <f t="shared" si="1"/>
        <v>4</v>
      </c>
      <c r="Z4" s="5">
        <f t="shared" si="2"/>
        <v>4.5999999999999996</v>
      </c>
      <c r="AA4" s="5">
        <f t="shared" si="3"/>
        <v>3.8</v>
      </c>
      <c r="AB4" s="4">
        <f t="shared" si="4"/>
        <v>21</v>
      </c>
      <c r="AC4" s="4">
        <f t="shared" si="5"/>
        <v>20</v>
      </c>
      <c r="AD4" s="4">
        <f t="shared" si="6"/>
        <v>23</v>
      </c>
      <c r="AE4" s="4">
        <f t="shared" si="7"/>
        <v>19</v>
      </c>
      <c r="AF4" s="9">
        <f t="shared" si="8"/>
        <v>17.64</v>
      </c>
      <c r="AG4" s="9">
        <f t="shared" si="9"/>
        <v>16</v>
      </c>
      <c r="AH4" s="9">
        <f t="shared" si="10"/>
        <v>21.159999999999997</v>
      </c>
      <c r="AI4" s="9">
        <f t="shared" si="11"/>
        <v>14.44</v>
      </c>
    </row>
    <row r="5" spans="1:35" ht="20" customHeight="1">
      <c r="A5" s="8">
        <v>4</v>
      </c>
      <c r="B5" s="3" t="s">
        <v>31</v>
      </c>
      <c r="C5" s="3" t="s">
        <v>68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4</v>
      </c>
      <c r="K5" s="4">
        <v>4</v>
      </c>
      <c r="L5" s="4">
        <v>4</v>
      </c>
      <c r="M5" s="4">
        <v>3</v>
      </c>
      <c r="N5" s="4">
        <v>4</v>
      </c>
      <c r="O5" s="4">
        <v>5</v>
      </c>
      <c r="P5" s="4">
        <v>4</v>
      </c>
      <c r="Q5" s="4">
        <v>3</v>
      </c>
      <c r="R5" s="4">
        <v>4</v>
      </c>
      <c r="S5" s="4">
        <v>5</v>
      </c>
      <c r="T5" s="4">
        <v>4</v>
      </c>
      <c r="U5" s="4">
        <v>4</v>
      </c>
      <c r="V5" s="4">
        <v>5</v>
      </c>
      <c r="W5" s="4">
        <v>5</v>
      </c>
      <c r="X5" s="5">
        <f t="shared" si="0"/>
        <v>5</v>
      </c>
      <c r="Y5" s="5">
        <f t="shared" si="1"/>
        <v>4</v>
      </c>
      <c r="Z5" s="5">
        <f t="shared" si="2"/>
        <v>4</v>
      </c>
      <c r="AA5" s="5">
        <f t="shared" si="3"/>
        <v>4.5999999999999996</v>
      </c>
      <c r="AB5" s="4">
        <f t="shared" si="4"/>
        <v>25</v>
      </c>
      <c r="AC5" s="4">
        <f t="shared" si="5"/>
        <v>20</v>
      </c>
      <c r="AD5" s="4">
        <f t="shared" si="6"/>
        <v>20</v>
      </c>
      <c r="AE5" s="4">
        <f t="shared" si="7"/>
        <v>23</v>
      </c>
      <c r="AF5" s="9">
        <f t="shared" si="8"/>
        <v>25</v>
      </c>
      <c r="AG5" s="9">
        <f t="shared" si="9"/>
        <v>16</v>
      </c>
      <c r="AH5" s="9">
        <f t="shared" si="10"/>
        <v>16</v>
      </c>
      <c r="AI5" s="9">
        <f t="shared" si="11"/>
        <v>21.159999999999997</v>
      </c>
    </row>
    <row r="6" spans="1:35" ht="20" customHeight="1">
      <c r="A6" s="8">
        <v>5</v>
      </c>
      <c r="B6" s="3" t="s">
        <v>31</v>
      </c>
      <c r="C6" s="3" t="s">
        <v>68</v>
      </c>
      <c r="D6" s="4">
        <v>4</v>
      </c>
      <c r="E6" s="4">
        <v>4</v>
      </c>
      <c r="F6" s="4">
        <v>4</v>
      </c>
      <c r="G6" s="4">
        <v>4</v>
      </c>
      <c r="H6" s="4">
        <v>4</v>
      </c>
      <c r="I6" s="4">
        <v>4</v>
      </c>
      <c r="J6" s="4">
        <v>5</v>
      </c>
      <c r="K6" s="4">
        <v>5</v>
      </c>
      <c r="L6" s="4">
        <v>4</v>
      </c>
      <c r="M6" s="4">
        <v>4</v>
      </c>
      <c r="N6" s="4">
        <v>4</v>
      </c>
      <c r="O6" s="4">
        <v>4</v>
      </c>
      <c r="P6" s="4">
        <v>4</v>
      </c>
      <c r="Q6" s="4">
        <v>4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5">
        <f t="shared" si="0"/>
        <v>4</v>
      </c>
      <c r="Y6" s="5">
        <f t="shared" si="1"/>
        <v>4.4000000000000004</v>
      </c>
      <c r="Z6" s="5">
        <f t="shared" si="2"/>
        <v>4</v>
      </c>
      <c r="AA6" s="5">
        <f t="shared" si="3"/>
        <v>4</v>
      </c>
      <c r="AB6" s="4">
        <f t="shared" si="4"/>
        <v>20</v>
      </c>
      <c r="AC6" s="4">
        <f t="shared" si="5"/>
        <v>22</v>
      </c>
      <c r="AD6" s="4">
        <f t="shared" si="6"/>
        <v>20</v>
      </c>
      <c r="AE6" s="4">
        <f t="shared" si="7"/>
        <v>20</v>
      </c>
      <c r="AF6" s="9">
        <f t="shared" si="8"/>
        <v>16</v>
      </c>
      <c r="AG6" s="9">
        <f t="shared" si="9"/>
        <v>19.360000000000003</v>
      </c>
      <c r="AH6" s="9">
        <f t="shared" si="10"/>
        <v>16</v>
      </c>
      <c r="AI6" s="9">
        <f t="shared" si="11"/>
        <v>16</v>
      </c>
    </row>
    <row r="7" spans="1:35" ht="20" customHeight="1">
      <c r="A7" s="8">
        <v>6</v>
      </c>
      <c r="B7" s="3" t="s">
        <v>29</v>
      </c>
      <c r="C7" s="3" t="s">
        <v>67</v>
      </c>
      <c r="D7" s="4">
        <v>4</v>
      </c>
      <c r="E7" s="4">
        <v>4</v>
      </c>
      <c r="F7" s="4">
        <v>3</v>
      </c>
      <c r="G7" s="4">
        <v>4</v>
      </c>
      <c r="H7" s="4">
        <v>3</v>
      </c>
      <c r="I7" s="4">
        <v>5</v>
      </c>
      <c r="J7" s="4">
        <v>5</v>
      </c>
      <c r="K7" s="4">
        <v>5</v>
      </c>
      <c r="L7" s="4">
        <v>5</v>
      </c>
      <c r="M7" s="4">
        <v>5</v>
      </c>
      <c r="N7" s="4">
        <v>4</v>
      </c>
      <c r="O7" s="4">
        <v>4</v>
      </c>
      <c r="P7" s="4">
        <v>4</v>
      </c>
      <c r="Q7" s="4">
        <v>4</v>
      </c>
      <c r="R7" s="4">
        <v>5</v>
      </c>
      <c r="S7" s="4">
        <v>3</v>
      </c>
      <c r="T7" s="4">
        <v>4</v>
      </c>
      <c r="U7" s="4">
        <v>3</v>
      </c>
      <c r="V7" s="4">
        <v>3</v>
      </c>
      <c r="W7" s="4">
        <v>3</v>
      </c>
      <c r="X7" s="5">
        <f t="shared" si="0"/>
        <v>3.6</v>
      </c>
      <c r="Y7" s="5">
        <f t="shared" si="1"/>
        <v>5</v>
      </c>
      <c r="Z7" s="5">
        <f t="shared" si="2"/>
        <v>4.2</v>
      </c>
      <c r="AA7" s="5">
        <f t="shared" si="3"/>
        <v>3.2</v>
      </c>
      <c r="AB7" s="4">
        <f t="shared" si="4"/>
        <v>18</v>
      </c>
      <c r="AC7" s="4">
        <f t="shared" si="5"/>
        <v>25</v>
      </c>
      <c r="AD7" s="4">
        <f t="shared" si="6"/>
        <v>21</v>
      </c>
      <c r="AE7" s="4">
        <f t="shared" si="7"/>
        <v>16</v>
      </c>
      <c r="AF7" s="9">
        <f t="shared" si="8"/>
        <v>12.96</v>
      </c>
      <c r="AG7" s="9">
        <f t="shared" si="9"/>
        <v>25</v>
      </c>
      <c r="AH7" s="9">
        <f t="shared" si="10"/>
        <v>17.64</v>
      </c>
      <c r="AI7" s="9">
        <f t="shared" si="11"/>
        <v>10.240000000000002</v>
      </c>
    </row>
    <row r="8" spans="1:35" ht="20" customHeight="1">
      <c r="A8" s="8">
        <v>7</v>
      </c>
      <c r="B8" s="3" t="s">
        <v>27</v>
      </c>
      <c r="C8" s="3" t="s">
        <v>68</v>
      </c>
      <c r="D8" s="4">
        <v>4</v>
      </c>
      <c r="E8" s="4">
        <v>4</v>
      </c>
      <c r="F8" s="4">
        <v>4</v>
      </c>
      <c r="G8" s="4">
        <v>4</v>
      </c>
      <c r="H8" s="4">
        <v>4</v>
      </c>
      <c r="I8" s="4">
        <v>5</v>
      </c>
      <c r="J8" s="4">
        <v>4</v>
      </c>
      <c r="K8" s="4">
        <v>4</v>
      </c>
      <c r="L8" s="4">
        <v>4</v>
      </c>
      <c r="M8" s="4">
        <v>4</v>
      </c>
      <c r="N8" s="4">
        <v>4</v>
      </c>
      <c r="O8" s="4">
        <v>4</v>
      </c>
      <c r="P8" s="4">
        <v>4</v>
      </c>
      <c r="Q8" s="4">
        <v>4</v>
      </c>
      <c r="R8" s="4">
        <v>4</v>
      </c>
      <c r="S8" s="4">
        <v>5</v>
      </c>
      <c r="T8" s="4">
        <v>5</v>
      </c>
      <c r="U8" s="4">
        <v>4</v>
      </c>
      <c r="V8" s="4">
        <v>3</v>
      </c>
      <c r="W8" s="4">
        <v>5</v>
      </c>
      <c r="X8" s="5">
        <f t="shared" si="0"/>
        <v>4</v>
      </c>
      <c r="Y8" s="5">
        <f t="shared" si="1"/>
        <v>4.2</v>
      </c>
      <c r="Z8" s="5">
        <f t="shared" si="2"/>
        <v>4</v>
      </c>
      <c r="AA8" s="5">
        <f t="shared" si="3"/>
        <v>4.4000000000000004</v>
      </c>
      <c r="AB8" s="4">
        <f t="shared" si="4"/>
        <v>20</v>
      </c>
      <c r="AC8" s="4">
        <f t="shared" si="5"/>
        <v>21</v>
      </c>
      <c r="AD8" s="4">
        <f t="shared" si="6"/>
        <v>20</v>
      </c>
      <c r="AE8" s="4">
        <f t="shared" si="7"/>
        <v>22</v>
      </c>
      <c r="AF8" s="9">
        <f t="shared" si="8"/>
        <v>16</v>
      </c>
      <c r="AG8" s="9">
        <f t="shared" si="9"/>
        <v>17.64</v>
      </c>
      <c r="AH8" s="9">
        <f t="shared" si="10"/>
        <v>16</v>
      </c>
      <c r="AI8" s="9">
        <f t="shared" si="11"/>
        <v>19.360000000000003</v>
      </c>
    </row>
    <row r="9" spans="1:35" ht="20" customHeight="1">
      <c r="A9" s="8">
        <v>8</v>
      </c>
      <c r="B9" s="3" t="s">
        <v>29</v>
      </c>
      <c r="C9" s="3" t="s">
        <v>66</v>
      </c>
      <c r="D9" s="4">
        <v>5</v>
      </c>
      <c r="E9" s="4">
        <v>5</v>
      </c>
      <c r="F9" s="4">
        <v>5</v>
      </c>
      <c r="G9" s="4">
        <v>5</v>
      </c>
      <c r="H9" s="4">
        <v>5</v>
      </c>
      <c r="I9" s="4">
        <v>3</v>
      </c>
      <c r="J9" s="4">
        <v>3</v>
      </c>
      <c r="K9" s="4">
        <v>3</v>
      </c>
      <c r="L9" s="4">
        <v>2</v>
      </c>
      <c r="M9" s="4">
        <v>3</v>
      </c>
      <c r="N9" s="4">
        <v>4</v>
      </c>
      <c r="O9" s="4">
        <v>5</v>
      </c>
      <c r="P9" s="4">
        <v>5</v>
      </c>
      <c r="Q9" s="4">
        <v>5</v>
      </c>
      <c r="R9" s="4">
        <v>4</v>
      </c>
      <c r="S9" s="4">
        <v>5</v>
      </c>
      <c r="T9" s="4">
        <v>5</v>
      </c>
      <c r="U9" s="4">
        <v>4</v>
      </c>
      <c r="V9" s="4">
        <v>4</v>
      </c>
      <c r="W9" s="4">
        <v>5</v>
      </c>
      <c r="X9" s="5">
        <f t="shared" si="0"/>
        <v>5</v>
      </c>
      <c r="Y9" s="5">
        <f t="shared" si="1"/>
        <v>2.8</v>
      </c>
      <c r="Z9" s="5">
        <f t="shared" si="2"/>
        <v>4.5999999999999996</v>
      </c>
      <c r="AA9" s="5">
        <f t="shared" si="3"/>
        <v>4.5999999999999996</v>
      </c>
      <c r="AB9" s="4">
        <f t="shared" si="4"/>
        <v>25</v>
      </c>
      <c r="AC9" s="4">
        <f t="shared" si="5"/>
        <v>14</v>
      </c>
      <c r="AD9" s="4">
        <f t="shared" si="6"/>
        <v>23</v>
      </c>
      <c r="AE9" s="4">
        <f t="shared" si="7"/>
        <v>23</v>
      </c>
      <c r="AF9" s="9">
        <f t="shared" si="8"/>
        <v>25</v>
      </c>
      <c r="AG9" s="9">
        <f t="shared" si="9"/>
        <v>7.839999999999999</v>
      </c>
      <c r="AH9" s="9">
        <f t="shared" si="10"/>
        <v>21.159999999999997</v>
      </c>
      <c r="AI9" s="9">
        <f t="shared" si="11"/>
        <v>21.159999999999997</v>
      </c>
    </row>
    <row r="10" spans="1:35" ht="20" customHeight="1">
      <c r="A10" s="8">
        <v>9</v>
      </c>
      <c r="B10" s="3" t="s">
        <v>27</v>
      </c>
      <c r="C10" s="3" t="s">
        <v>66</v>
      </c>
      <c r="D10" s="4">
        <v>3</v>
      </c>
      <c r="E10" s="4">
        <v>4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5</v>
      </c>
      <c r="N10" s="4">
        <v>5</v>
      </c>
      <c r="O10" s="4">
        <v>5</v>
      </c>
      <c r="P10" s="4">
        <v>4</v>
      </c>
      <c r="Q10" s="4">
        <v>4</v>
      </c>
      <c r="R10" s="4">
        <v>5</v>
      </c>
      <c r="S10" s="4">
        <v>4</v>
      </c>
      <c r="T10" s="4">
        <v>4</v>
      </c>
      <c r="U10" s="4">
        <v>4</v>
      </c>
      <c r="V10" s="4">
        <v>3</v>
      </c>
      <c r="W10" s="4">
        <v>4</v>
      </c>
      <c r="X10" s="5">
        <f t="shared" si="0"/>
        <v>3.2</v>
      </c>
      <c r="Y10" s="5">
        <f t="shared" si="1"/>
        <v>3.4</v>
      </c>
      <c r="Z10" s="5">
        <f t="shared" si="2"/>
        <v>4.5999999999999996</v>
      </c>
      <c r="AA10" s="5">
        <f t="shared" si="3"/>
        <v>3.8</v>
      </c>
      <c r="AB10" s="4">
        <f t="shared" si="4"/>
        <v>16</v>
      </c>
      <c r="AC10" s="4">
        <f t="shared" si="5"/>
        <v>17</v>
      </c>
      <c r="AD10" s="4">
        <f t="shared" si="6"/>
        <v>23</v>
      </c>
      <c r="AE10" s="4">
        <f t="shared" si="7"/>
        <v>19</v>
      </c>
      <c r="AF10" s="9">
        <f t="shared" si="8"/>
        <v>10.240000000000002</v>
      </c>
      <c r="AG10" s="9">
        <f t="shared" si="9"/>
        <v>11.559999999999999</v>
      </c>
      <c r="AH10" s="9">
        <f t="shared" si="10"/>
        <v>21.159999999999997</v>
      </c>
      <c r="AI10" s="9">
        <f t="shared" si="11"/>
        <v>14.44</v>
      </c>
    </row>
    <row r="11" spans="1:35" ht="20" customHeight="1">
      <c r="A11" s="8">
        <v>10</v>
      </c>
      <c r="B11" s="3" t="s">
        <v>31</v>
      </c>
      <c r="C11" s="3" t="s">
        <v>68</v>
      </c>
      <c r="D11" s="4">
        <v>5</v>
      </c>
      <c r="E11" s="4">
        <v>5</v>
      </c>
      <c r="F11" s="4">
        <v>4</v>
      </c>
      <c r="G11" s="4">
        <v>4</v>
      </c>
      <c r="H11" s="4">
        <v>5</v>
      </c>
      <c r="I11" s="4">
        <v>3</v>
      </c>
      <c r="J11" s="4">
        <v>3</v>
      </c>
      <c r="K11" s="4">
        <v>3</v>
      </c>
      <c r="L11" s="4">
        <v>3</v>
      </c>
      <c r="M11" s="4">
        <v>3</v>
      </c>
      <c r="N11" s="4">
        <v>5</v>
      </c>
      <c r="O11" s="4">
        <v>5</v>
      </c>
      <c r="P11" s="4">
        <v>5</v>
      </c>
      <c r="Q11" s="4">
        <v>4</v>
      </c>
      <c r="R11" s="4">
        <v>5</v>
      </c>
      <c r="S11" s="4">
        <v>3</v>
      </c>
      <c r="T11" s="4">
        <v>4</v>
      </c>
      <c r="U11" s="4">
        <v>3</v>
      </c>
      <c r="V11" s="4">
        <v>3</v>
      </c>
      <c r="W11" s="4">
        <v>4</v>
      </c>
      <c r="X11" s="5">
        <f t="shared" si="0"/>
        <v>4.5999999999999996</v>
      </c>
      <c r="Y11" s="5">
        <f t="shared" si="1"/>
        <v>3</v>
      </c>
      <c r="Z11" s="5">
        <f t="shared" si="2"/>
        <v>4.8</v>
      </c>
      <c r="AA11" s="5">
        <f t="shared" si="3"/>
        <v>3.4</v>
      </c>
      <c r="AB11" s="4">
        <f t="shared" si="4"/>
        <v>23</v>
      </c>
      <c r="AC11" s="4">
        <f t="shared" si="5"/>
        <v>15</v>
      </c>
      <c r="AD11" s="4">
        <f t="shared" si="6"/>
        <v>24</v>
      </c>
      <c r="AE11" s="4">
        <f t="shared" si="7"/>
        <v>17</v>
      </c>
      <c r="AF11" s="9">
        <f t="shared" si="8"/>
        <v>21.159999999999997</v>
      </c>
      <c r="AG11" s="9">
        <f t="shared" si="9"/>
        <v>9</v>
      </c>
      <c r="AH11" s="9">
        <f t="shared" si="10"/>
        <v>23.04</v>
      </c>
      <c r="AI11" s="9">
        <f t="shared" si="11"/>
        <v>11.559999999999999</v>
      </c>
    </row>
    <row r="12" spans="1:35" ht="20" customHeight="1">
      <c r="A12" s="8">
        <v>11</v>
      </c>
      <c r="B12" s="3" t="s">
        <v>31</v>
      </c>
      <c r="C12" s="3" t="s">
        <v>68</v>
      </c>
      <c r="D12" s="4">
        <v>5</v>
      </c>
      <c r="E12" s="4">
        <v>5</v>
      </c>
      <c r="F12" s="4">
        <v>4</v>
      </c>
      <c r="G12" s="4">
        <v>5</v>
      </c>
      <c r="H12" s="4">
        <v>4</v>
      </c>
      <c r="I12" s="4">
        <v>3</v>
      </c>
      <c r="J12" s="4">
        <v>4</v>
      </c>
      <c r="K12" s="4">
        <v>4</v>
      </c>
      <c r="L12" s="4">
        <v>3</v>
      </c>
      <c r="M12" s="4">
        <v>3</v>
      </c>
      <c r="N12" s="4">
        <v>4</v>
      </c>
      <c r="O12" s="4">
        <v>4</v>
      </c>
      <c r="P12" s="4">
        <v>4</v>
      </c>
      <c r="Q12" s="4">
        <v>5</v>
      </c>
      <c r="R12" s="4">
        <v>4</v>
      </c>
      <c r="S12" s="4">
        <v>3</v>
      </c>
      <c r="T12" s="4">
        <v>4</v>
      </c>
      <c r="U12" s="4">
        <v>4</v>
      </c>
      <c r="V12" s="4">
        <v>3</v>
      </c>
      <c r="W12" s="4">
        <v>4</v>
      </c>
      <c r="X12" s="5">
        <f t="shared" si="0"/>
        <v>4.5999999999999996</v>
      </c>
      <c r="Y12" s="5">
        <f t="shared" si="1"/>
        <v>3.4</v>
      </c>
      <c r="Z12" s="5">
        <f t="shared" si="2"/>
        <v>4.2</v>
      </c>
      <c r="AA12" s="5">
        <f t="shared" si="3"/>
        <v>3.6</v>
      </c>
      <c r="AB12" s="4">
        <f t="shared" si="4"/>
        <v>23</v>
      </c>
      <c r="AC12" s="4">
        <f t="shared" si="5"/>
        <v>17</v>
      </c>
      <c r="AD12" s="4">
        <f t="shared" si="6"/>
        <v>21</v>
      </c>
      <c r="AE12" s="4">
        <f t="shared" si="7"/>
        <v>18</v>
      </c>
      <c r="AF12" s="9">
        <f t="shared" si="8"/>
        <v>21.159999999999997</v>
      </c>
      <c r="AG12" s="9">
        <f t="shared" si="9"/>
        <v>11.559999999999999</v>
      </c>
      <c r="AH12" s="9">
        <f t="shared" si="10"/>
        <v>17.64</v>
      </c>
      <c r="AI12" s="9">
        <f t="shared" si="11"/>
        <v>12.96</v>
      </c>
    </row>
    <row r="13" spans="1:35" ht="20" customHeight="1">
      <c r="A13" s="8">
        <v>12</v>
      </c>
      <c r="B13" s="3" t="s">
        <v>31</v>
      </c>
      <c r="C13" s="3" t="s">
        <v>68</v>
      </c>
      <c r="D13" s="4">
        <v>4</v>
      </c>
      <c r="E13" s="4">
        <v>5</v>
      </c>
      <c r="F13" s="4">
        <v>4</v>
      </c>
      <c r="G13" s="4">
        <v>5</v>
      </c>
      <c r="H13" s="4">
        <v>5</v>
      </c>
      <c r="I13" s="4">
        <v>5</v>
      </c>
      <c r="J13" s="4">
        <v>5</v>
      </c>
      <c r="K13" s="4">
        <v>4</v>
      </c>
      <c r="L13" s="4">
        <v>4</v>
      </c>
      <c r="M13" s="4">
        <v>3</v>
      </c>
      <c r="N13" s="4">
        <v>3</v>
      </c>
      <c r="O13" s="4">
        <v>3</v>
      </c>
      <c r="P13" s="4">
        <v>3</v>
      </c>
      <c r="Q13" s="4">
        <v>3</v>
      </c>
      <c r="R13" s="4">
        <v>3</v>
      </c>
      <c r="S13" s="4">
        <v>3</v>
      </c>
      <c r="T13" s="4">
        <v>4</v>
      </c>
      <c r="U13" s="4">
        <v>3</v>
      </c>
      <c r="V13" s="4">
        <v>3</v>
      </c>
      <c r="W13" s="4">
        <v>2</v>
      </c>
      <c r="X13" s="5">
        <f t="shared" si="0"/>
        <v>4.5999999999999996</v>
      </c>
      <c r="Y13" s="5">
        <f t="shared" si="1"/>
        <v>4.2</v>
      </c>
      <c r="Z13" s="5">
        <f t="shared" si="2"/>
        <v>3</v>
      </c>
      <c r="AA13" s="5">
        <f t="shared" si="3"/>
        <v>3</v>
      </c>
      <c r="AB13" s="4">
        <f t="shared" si="4"/>
        <v>23</v>
      </c>
      <c r="AC13" s="4">
        <f t="shared" si="5"/>
        <v>21</v>
      </c>
      <c r="AD13" s="4">
        <f t="shared" si="6"/>
        <v>15</v>
      </c>
      <c r="AE13" s="4">
        <f t="shared" si="7"/>
        <v>15</v>
      </c>
      <c r="AF13" s="9">
        <f t="shared" si="8"/>
        <v>21.159999999999997</v>
      </c>
      <c r="AG13" s="9">
        <f t="shared" si="9"/>
        <v>17.64</v>
      </c>
      <c r="AH13" s="9">
        <f t="shared" si="10"/>
        <v>9</v>
      </c>
      <c r="AI13" s="9">
        <f t="shared" si="11"/>
        <v>9</v>
      </c>
    </row>
    <row r="14" spans="1:35" ht="20" customHeight="1">
      <c r="A14" s="8">
        <v>13</v>
      </c>
      <c r="B14" s="3" t="s">
        <v>31</v>
      </c>
      <c r="C14" s="3" t="s">
        <v>67</v>
      </c>
      <c r="D14" s="4">
        <v>5</v>
      </c>
      <c r="E14" s="4">
        <v>5</v>
      </c>
      <c r="F14" s="4">
        <v>5</v>
      </c>
      <c r="G14" s="4">
        <v>4</v>
      </c>
      <c r="H14" s="4">
        <v>5</v>
      </c>
      <c r="I14" s="4">
        <v>2</v>
      </c>
      <c r="J14" s="4">
        <v>2</v>
      </c>
      <c r="K14" s="4">
        <v>2</v>
      </c>
      <c r="L14" s="4">
        <v>2</v>
      </c>
      <c r="M14" s="4">
        <v>1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5</v>
      </c>
      <c r="T14" s="4">
        <v>5</v>
      </c>
      <c r="U14" s="4">
        <v>4</v>
      </c>
      <c r="V14" s="4">
        <v>5</v>
      </c>
      <c r="W14" s="4">
        <v>4</v>
      </c>
      <c r="X14" s="5">
        <f t="shared" si="0"/>
        <v>4.8</v>
      </c>
      <c r="Y14" s="5">
        <f t="shared" si="1"/>
        <v>1.8</v>
      </c>
      <c r="Z14" s="5">
        <f t="shared" si="2"/>
        <v>4</v>
      </c>
      <c r="AA14" s="5">
        <f t="shared" si="3"/>
        <v>4.5999999999999996</v>
      </c>
      <c r="AB14" s="4">
        <f t="shared" si="4"/>
        <v>24</v>
      </c>
      <c r="AC14" s="4">
        <f t="shared" si="5"/>
        <v>9</v>
      </c>
      <c r="AD14" s="4">
        <f t="shared" si="6"/>
        <v>20</v>
      </c>
      <c r="AE14" s="4">
        <f t="shared" si="7"/>
        <v>23</v>
      </c>
      <c r="AF14" s="9">
        <f t="shared" si="8"/>
        <v>23.04</v>
      </c>
      <c r="AG14" s="9">
        <f t="shared" si="9"/>
        <v>3.24</v>
      </c>
      <c r="AH14" s="9">
        <f t="shared" si="10"/>
        <v>16</v>
      </c>
      <c r="AI14" s="9">
        <f t="shared" si="11"/>
        <v>21.159999999999997</v>
      </c>
    </row>
    <row r="15" spans="1:35" ht="20" customHeight="1">
      <c r="A15" s="8">
        <v>14</v>
      </c>
      <c r="B15" s="3" t="s">
        <v>29</v>
      </c>
      <c r="C15" s="3" t="s">
        <v>66</v>
      </c>
      <c r="D15" s="4">
        <v>5</v>
      </c>
      <c r="E15" s="4">
        <v>5</v>
      </c>
      <c r="F15" s="4">
        <v>5</v>
      </c>
      <c r="G15" s="4">
        <v>4</v>
      </c>
      <c r="H15" s="4">
        <v>4</v>
      </c>
      <c r="I15" s="4">
        <v>5</v>
      </c>
      <c r="J15" s="4">
        <v>5</v>
      </c>
      <c r="K15" s="4">
        <v>5</v>
      </c>
      <c r="L15" s="4">
        <v>4</v>
      </c>
      <c r="M15" s="4">
        <v>3</v>
      </c>
      <c r="N15" s="4">
        <v>4</v>
      </c>
      <c r="O15" s="4">
        <v>4</v>
      </c>
      <c r="P15" s="4">
        <v>4</v>
      </c>
      <c r="Q15" s="4">
        <v>4</v>
      </c>
      <c r="R15" s="4">
        <v>5</v>
      </c>
      <c r="S15" s="4">
        <v>5</v>
      </c>
      <c r="T15" s="4">
        <v>5</v>
      </c>
      <c r="U15" s="4">
        <v>4</v>
      </c>
      <c r="V15" s="4">
        <v>5</v>
      </c>
      <c r="W15" s="4">
        <v>4</v>
      </c>
      <c r="X15" s="5">
        <f t="shared" si="0"/>
        <v>4.5999999999999996</v>
      </c>
      <c r="Y15" s="5">
        <f t="shared" si="1"/>
        <v>4.4000000000000004</v>
      </c>
      <c r="Z15" s="5">
        <f t="shared" si="2"/>
        <v>4.2</v>
      </c>
      <c r="AA15" s="5">
        <f t="shared" si="3"/>
        <v>4.5999999999999996</v>
      </c>
      <c r="AB15" s="4">
        <f t="shared" si="4"/>
        <v>23</v>
      </c>
      <c r="AC15" s="4">
        <f t="shared" si="5"/>
        <v>22</v>
      </c>
      <c r="AD15" s="4">
        <f t="shared" si="6"/>
        <v>21</v>
      </c>
      <c r="AE15" s="4">
        <f t="shared" si="7"/>
        <v>23</v>
      </c>
      <c r="AF15" s="9">
        <f t="shared" si="8"/>
        <v>21.159999999999997</v>
      </c>
      <c r="AG15" s="9">
        <f t="shared" si="9"/>
        <v>19.360000000000003</v>
      </c>
      <c r="AH15" s="9">
        <f t="shared" si="10"/>
        <v>17.64</v>
      </c>
      <c r="AI15" s="9">
        <f t="shared" si="11"/>
        <v>21.159999999999997</v>
      </c>
    </row>
    <row r="16" spans="1:35" ht="20" customHeight="1">
      <c r="A16" s="8">
        <v>15</v>
      </c>
      <c r="B16" s="3" t="s">
        <v>34</v>
      </c>
      <c r="C16" s="3" t="s">
        <v>66</v>
      </c>
      <c r="D16" s="4">
        <v>3</v>
      </c>
      <c r="E16" s="4">
        <v>3</v>
      </c>
      <c r="F16" s="4">
        <v>3</v>
      </c>
      <c r="G16" s="4">
        <v>3</v>
      </c>
      <c r="H16" s="4">
        <v>3</v>
      </c>
      <c r="I16" s="4">
        <v>4</v>
      </c>
      <c r="J16" s="4">
        <v>3</v>
      </c>
      <c r="K16" s="4">
        <v>4</v>
      </c>
      <c r="L16" s="4">
        <v>4</v>
      </c>
      <c r="M16" s="4">
        <v>3</v>
      </c>
      <c r="N16" s="4">
        <v>3</v>
      </c>
      <c r="O16" s="4">
        <v>4</v>
      </c>
      <c r="P16" s="4">
        <v>3</v>
      </c>
      <c r="Q16" s="4">
        <v>4</v>
      </c>
      <c r="R16" s="4">
        <v>4</v>
      </c>
      <c r="S16" s="4">
        <v>5</v>
      </c>
      <c r="T16" s="4">
        <v>5</v>
      </c>
      <c r="U16" s="4">
        <v>5</v>
      </c>
      <c r="V16" s="4">
        <v>4</v>
      </c>
      <c r="W16" s="4">
        <v>3</v>
      </c>
      <c r="X16" s="5">
        <f t="shared" si="0"/>
        <v>3</v>
      </c>
      <c r="Y16" s="5">
        <f t="shared" si="1"/>
        <v>3.6</v>
      </c>
      <c r="Z16" s="5">
        <f t="shared" si="2"/>
        <v>3.6</v>
      </c>
      <c r="AA16" s="5">
        <f t="shared" si="3"/>
        <v>4.4000000000000004</v>
      </c>
      <c r="AB16" s="4">
        <f t="shared" si="4"/>
        <v>15</v>
      </c>
      <c r="AC16" s="4">
        <f t="shared" si="5"/>
        <v>18</v>
      </c>
      <c r="AD16" s="4">
        <f t="shared" si="6"/>
        <v>18</v>
      </c>
      <c r="AE16" s="4">
        <f t="shared" si="7"/>
        <v>22</v>
      </c>
      <c r="AF16" s="9">
        <f t="shared" si="8"/>
        <v>9</v>
      </c>
      <c r="AG16" s="9">
        <f t="shared" si="9"/>
        <v>12.96</v>
      </c>
      <c r="AH16" s="9">
        <f t="shared" si="10"/>
        <v>12.96</v>
      </c>
      <c r="AI16" s="9">
        <f t="shared" si="11"/>
        <v>19.360000000000003</v>
      </c>
    </row>
    <row r="17" spans="1:35" ht="20" customHeight="1">
      <c r="A17" s="8">
        <v>16</v>
      </c>
      <c r="B17" s="3" t="s">
        <v>29</v>
      </c>
      <c r="C17" s="3" t="s">
        <v>66</v>
      </c>
      <c r="D17" s="4">
        <v>4</v>
      </c>
      <c r="E17" s="4">
        <v>5</v>
      </c>
      <c r="F17" s="4">
        <v>4</v>
      </c>
      <c r="G17" s="4">
        <v>4</v>
      </c>
      <c r="H17" s="4">
        <v>4</v>
      </c>
      <c r="I17" s="4">
        <v>4</v>
      </c>
      <c r="J17" s="4">
        <v>3</v>
      </c>
      <c r="K17" s="4">
        <v>4</v>
      </c>
      <c r="L17" s="4">
        <v>3</v>
      </c>
      <c r="M17" s="4">
        <v>4</v>
      </c>
      <c r="N17" s="4">
        <v>4</v>
      </c>
      <c r="O17" s="4">
        <v>4</v>
      </c>
      <c r="P17" s="4">
        <v>4</v>
      </c>
      <c r="Q17" s="4">
        <v>4</v>
      </c>
      <c r="R17" s="4">
        <v>5</v>
      </c>
      <c r="S17" s="4">
        <v>3</v>
      </c>
      <c r="T17" s="4">
        <v>3</v>
      </c>
      <c r="U17" s="4">
        <v>4</v>
      </c>
      <c r="V17" s="4">
        <v>4</v>
      </c>
      <c r="W17" s="4">
        <v>4</v>
      </c>
      <c r="X17" s="5">
        <f t="shared" si="0"/>
        <v>4.2</v>
      </c>
      <c r="Y17" s="5">
        <f t="shared" si="1"/>
        <v>3.6</v>
      </c>
      <c r="Z17" s="5">
        <f t="shared" si="2"/>
        <v>4.2</v>
      </c>
      <c r="AA17" s="5">
        <f t="shared" si="3"/>
        <v>3.6</v>
      </c>
      <c r="AB17" s="4">
        <f t="shared" si="4"/>
        <v>21</v>
      </c>
      <c r="AC17" s="4">
        <f t="shared" si="5"/>
        <v>18</v>
      </c>
      <c r="AD17" s="4">
        <f t="shared" si="6"/>
        <v>21</v>
      </c>
      <c r="AE17" s="4">
        <f t="shared" si="7"/>
        <v>18</v>
      </c>
      <c r="AF17" s="9">
        <f t="shared" si="8"/>
        <v>17.64</v>
      </c>
      <c r="AG17" s="9">
        <f t="shared" si="9"/>
        <v>12.96</v>
      </c>
      <c r="AH17" s="9">
        <f t="shared" si="10"/>
        <v>17.64</v>
      </c>
      <c r="AI17" s="9">
        <f t="shared" si="11"/>
        <v>12.96</v>
      </c>
    </row>
    <row r="18" spans="1:35" ht="20" customHeight="1">
      <c r="A18" s="8">
        <v>17</v>
      </c>
      <c r="B18" s="3" t="s">
        <v>27</v>
      </c>
      <c r="C18" s="3" t="s">
        <v>67</v>
      </c>
      <c r="D18" s="4">
        <v>3</v>
      </c>
      <c r="E18" s="4">
        <v>3</v>
      </c>
      <c r="F18" s="4">
        <v>3</v>
      </c>
      <c r="G18" s="4">
        <v>4</v>
      </c>
      <c r="H18" s="4">
        <v>3</v>
      </c>
      <c r="I18" s="4">
        <v>2</v>
      </c>
      <c r="J18" s="4">
        <v>2</v>
      </c>
      <c r="K18" s="4">
        <v>2</v>
      </c>
      <c r="L18" s="4">
        <v>1</v>
      </c>
      <c r="M18" s="4">
        <v>2</v>
      </c>
      <c r="N18" s="4">
        <v>3</v>
      </c>
      <c r="O18" s="4">
        <v>3</v>
      </c>
      <c r="P18" s="4">
        <v>3</v>
      </c>
      <c r="Q18" s="4">
        <v>3</v>
      </c>
      <c r="R18" s="4">
        <v>3</v>
      </c>
      <c r="S18" s="4">
        <v>4</v>
      </c>
      <c r="T18" s="4">
        <v>4</v>
      </c>
      <c r="U18" s="4">
        <v>3</v>
      </c>
      <c r="V18" s="4">
        <v>3</v>
      </c>
      <c r="W18" s="4">
        <v>4</v>
      </c>
      <c r="X18" s="5">
        <f t="shared" si="0"/>
        <v>3.2</v>
      </c>
      <c r="Y18" s="5">
        <f t="shared" si="1"/>
        <v>1.8</v>
      </c>
      <c r="Z18" s="5">
        <f t="shared" si="2"/>
        <v>3</v>
      </c>
      <c r="AA18" s="5">
        <f t="shared" si="3"/>
        <v>3.6</v>
      </c>
      <c r="AB18" s="4">
        <f t="shared" si="4"/>
        <v>16</v>
      </c>
      <c r="AC18" s="4">
        <f t="shared" si="5"/>
        <v>9</v>
      </c>
      <c r="AD18" s="4">
        <f t="shared" si="6"/>
        <v>15</v>
      </c>
      <c r="AE18" s="4">
        <f t="shared" si="7"/>
        <v>18</v>
      </c>
      <c r="AF18" s="9">
        <f t="shared" si="8"/>
        <v>10.240000000000002</v>
      </c>
      <c r="AG18" s="9">
        <f t="shared" si="9"/>
        <v>3.24</v>
      </c>
      <c r="AH18" s="9">
        <f t="shared" si="10"/>
        <v>9</v>
      </c>
      <c r="AI18" s="9">
        <f t="shared" si="11"/>
        <v>12.96</v>
      </c>
    </row>
    <row r="19" spans="1:35" ht="20" customHeight="1">
      <c r="A19" s="8">
        <v>18</v>
      </c>
      <c r="B19" s="3" t="s">
        <v>31</v>
      </c>
      <c r="C19" s="3" t="s">
        <v>66</v>
      </c>
      <c r="D19" s="4">
        <v>4</v>
      </c>
      <c r="E19" s="4">
        <v>4</v>
      </c>
      <c r="F19" s="4">
        <v>4</v>
      </c>
      <c r="G19" s="4">
        <v>3</v>
      </c>
      <c r="H19" s="4">
        <v>4</v>
      </c>
      <c r="I19" s="4">
        <v>4</v>
      </c>
      <c r="J19" s="4">
        <v>2</v>
      </c>
      <c r="K19" s="4">
        <v>3</v>
      </c>
      <c r="L19" s="4">
        <v>3</v>
      </c>
      <c r="M19" s="4">
        <v>3</v>
      </c>
      <c r="N19" s="4">
        <v>4</v>
      </c>
      <c r="O19" s="4">
        <v>4</v>
      </c>
      <c r="P19" s="4">
        <v>5</v>
      </c>
      <c r="Q19" s="4">
        <v>3</v>
      </c>
      <c r="R19" s="4">
        <v>5</v>
      </c>
      <c r="S19" s="4">
        <v>4</v>
      </c>
      <c r="T19" s="4">
        <v>2</v>
      </c>
      <c r="U19" s="4">
        <v>3</v>
      </c>
      <c r="V19" s="4">
        <v>2</v>
      </c>
      <c r="W19" s="4">
        <v>3</v>
      </c>
      <c r="X19" s="5">
        <f t="shared" si="0"/>
        <v>3.8</v>
      </c>
      <c r="Y19" s="5">
        <f t="shared" si="1"/>
        <v>3</v>
      </c>
      <c r="Z19" s="5">
        <f t="shared" si="2"/>
        <v>4.2</v>
      </c>
      <c r="AA19" s="5">
        <f t="shared" si="3"/>
        <v>2.8</v>
      </c>
      <c r="AB19" s="4">
        <f t="shared" si="4"/>
        <v>19</v>
      </c>
      <c r="AC19" s="4">
        <f t="shared" si="5"/>
        <v>15</v>
      </c>
      <c r="AD19" s="4">
        <f t="shared" si="6"/>
        <v>21</v>
      </c>
      <c r="AE19" s="4">
        <f t="shared" si="7"/>
        <v>14</v>
      </c>
      <c r="AF19" s="9">
        <f t="shared" si="8"/>
        <v>14.44</v>
      </c>
      <c r="AG19" s="9">
        <f t="shared" si="9"/>
        <v>9</v>
      </c>
      <c r="AH19" s="9">
        <f t="shared" si="10"/>
        <v>17.64</v>
      </c>
      <c r="AI19" s="9">
        <f t="shared" si="11"/>
        <v>7.839999999999999</v>
      </c>
    </row>
    <row r="20" spans="1:35" ht="20" customHeight="1">
      <c r="A20" s="8">
        <v>19</v>
      </c>
      <c r="B20" s="3" t="s">
        <v>31</v>
      </c>
      <c r="C20" s="3" t="s">
        <v>66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5</v>
      </c>
      <c r="K20" s="4">
        <v>3</v>
      </c>
      <c r="L20" s="4">
        <v>3</v>
      </c>
      <c r="M20" s="4">
        <v>4</v>
      </c>
      <c r="N20" s="4">
        <v>3</v>
      </c>
      <c r="O20" s="4">
        <v>3</v>
      </c>
      <c r="P20" s="4">
        <v>3</v>
      </c>
      <c r="Q20" s="4">
        <v>2</v>
      </c>
      <c r="R20" s="4">
        <v>3</v>
      </c>
      <c r="S20" s="4">
        <v>4</v>
      </c>
      <c r="T20" s="4">
        <v>4</v>
      </c>
      <c r="U20" s="4">
        <v>4</v>
      </c>
      <c r="V20" s="4">
        <v>4</v>
      </c>
      <c r="W20" s="4">
        <v>4</v>
      </c>
      <c r="X20" s="5">
        <f t="shared" si="0"/>
        <v>4</v>
      </c>
      <c r="Y20" s="5">
        <f t="shared" si="1"/>
        <v>3.8</v>
      </c>
      <c r="Z20" s="5">
        <f t="shared" si="2"/>
        <v>2.8</v>
      </c>
      <c r="AA20" s="5">
        <f t="shared" si="3"/>
        <v>4</v>
      </c>
      <c r="AB20" s="4">
        <f t="shared" si="4"/>
        <v>20</v>
      </c>
      <c r="AC20" s="4">
        <f t="shared" si="5"/>
        <v>19</v>
      </c>
      <c r="AD20" s="4">
        <f t="shared" si="6"/>
        <v>14</v>
      </c>
      <c r="AE20" s="4">
        <f t="shared" si="7"/>
        <v>20</v>
      </c>
      <c r="AF20" s="9">
        <f t="shared" si="8"/>
        <v>16</v>
      </c>
      <c r="AG20" s="9">
        <f t="shared" si="9"/>
        <v>14.44</v>
      </c>
      <c r="AH20" s="9">
        <f t="shared" si="10"/>
        <v>7.839999999999999</v>
      </c>
      <c r="AI20" s="9">
        <f t="shared" si="11"/>
        <v>16</v>
      </c>
    </row>
    <row r="21" spans="1:35" ht="20" customHeight="1">
      <c r="A21" s="8">
        <v>20</v>
      </c>
      <c r="B21" s="3" t="s">
        <v>29</v>
      </c>
      <c r="C21" s="3" t="s">
        <v>67</v>
      </c>
      <c r="D21" s="4">
        <v>4</v>
      </c>
      <c r="E21" s="4">
        <v>4</v>
      </c>
      <c r="F21" s="4">
        <v>3</v>
      </c>
      <c r="G21" s="4">
        <v>3</v>
      </c>
      <c r="H21" s="4">
        <v>3</v>
      </c>
      <c r="I21" s="4">
        <v>5</v>
      </c>
      <c r="J21" s="4">
        <v>5</v>
      </c>
      <c r="K21" s="4">
        <v>4</v>
      </c>
      <c r="L21" s="4">
        <v>4</v>
      </c>
      <c r="M21" s="4">
        <v>4</v>
      </c>
      <c r="N21" s="4">
        <v>2</v>
      </c>
      <c r="O21" s="4">
        <v>3</v>
      </c>
      <c r="P21" s="4">
        <v>3</v>
      </c>
      <c r="Q21" s="4">
        <v>2</v>
      </c>
      <c r="R21" s="4">
        <v>3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5">
        <f t="shared" si="0"/>
        <v>3.4</v>
      </c>
      <c r="Y21" s="5">
        <f t="shared" si="1"/>
        <v>4.4000000000000004</v>
      </c>
      <c r="Z21" s="5">
        <f t="shared" si="2"/>
        <v>2.6</v>
      </c>
      <c r="AA21" s="5">
        <f t="shared" si="3"/>
        <v>1</v>
      </c>
      <c r="AB21" s="4">
        <f t="shared" si="4"/>
        <v>17</v>
      </c>
      <c r="AC21" s="4">
        <f t="shared" si="5"/>
        <v>22</v>
      </c>
      <c r="AD21" s="4">
        <f t="shared" si="6"/>
        <v>13</v>
      </c>
      <c r="AE21" s="4">
        <f t="shared" si="7"/>
        <v>5</v>
      </c>
      <c r="AF21" s="9">
        <f t="shared" si="8"/>
        <v>11.559999999999999</v>
      </c>
      <c r="AG21" s="9">
        <f t="shared" si="9"/>
        <v>19.360000000000003</v>
      </c>
      <c r="AH21" s="9">
        <f t="shared" si="10"/>
        <v>6.7600000000000007</v>
      </c>
      <c r="AI21" s="9">
        <f t="shared" si="11"/>
        <v>1</v>
      </c>
    </row>
    <row r="22" spans="1:35" ht="20" customHeight="1">
      <c r="A22" s="8">
        <v>21</v>
      </c>
      <c r="B22" s="3" t="s">
        <v>31</v>
      </c>
      <c r="C22" s="3" t="s">
        <v>66</v>
      </c>
      <c r="D22" s="4">
        <v>4</v>
      </c>
      <c r="E22" s="4">
        <v>4</v>
      </c>
      <c r="F22" s="4">
        <v>4</v>
      </c>
      <c r="G22" s="4">
        <v>3</v>
      </c>
      <c r="H22" s="4">
        <v>4</v>
      </c>
      <c r="I22" s="4">
        <v>4</v>
      </c>
      <c r="J22" s="4">
        <v>4</v>
      </c>
      <c r="K22" s="4">
        <v>5</v>
      </c>
      <c r="L22" s="4">
        <v>4</v>
      </c>
      <c r="M22" s="4">
        <v>5</v>
      </c>
      <c r="N22" s="4">
        <v>4</v>
      </c>
      <c r="O22" s="4">
        <v>4</v>
      </c>
      <c r="P22" s="4">
        <v>3</v>
      </c>
      <c r="Q22" s="4">
        <v>4</v>
      </c>
      <c r="R22" s="4">
        <v>4</v>
      </c>
      <c r="S22" s="4">
        <v>4</v>
      </c>
      <c r="T22" s="4">
        <v>4</v>
      </c>
      <c r="U22" s="4">
        <v>3</v>
      </c>
      <c r="V22" s="4">
        <v>4</v>
      </c>
      <c r="W22" s="4">
        <v>3</v>
      </c>
      <c r="X22" s="5">
        <f t="shared" si="0"/>
        <v>3.8</v>
      </c>
      <c r="Y22" s="5">
        <f t="shared" si="1"/>
        <v>4.4000000000000004</v>
      </c>
      <c r="Z22" s="5">
        <f t="shared" si="2"/>
        <v>3.8</v>
      </c>
      <c r="AA22" s="5">
        <f t="shared" si="3"/>
        <v>3.6</v>
      </c>
      <c r="AB22" s="4">
        <f t="shared" si="4"/>
        <v>19</v>
      </c>
      <c r="AC22" s="4">
        <f t="shared" si="5"/>
        <v>22</v>
      </c>
      <c r="AD22" s="4">
        <f t="shared" si="6"/>
        <v>19</v>
      </c>
      <c r="AE22" s="4">
        <f t="shared" si="7"/>
        <v>18</v>
      </c>
      <c r="AF22" s="9">
        <f t="shared" si="8"/>
        <v>14.44</v>
      </c>
      <c r="AG22" s="9">
        <f t="shared" si="9"/>
        <v>19.360000000000003</v>
      </c>
      <c r="AH22" s="9">
        <f t="shared" si="10"/>
        <v>14.44</v>
      </c>
      <c r="AI22" s="9">
        <f t="shared" si="11"/>
        <v>12.96</v>
      </c>
    </row>
    <row r="23" spans="1:35" ht="20" customHeight="1">
      <c r="A23" s="8">
        <v>22</v>
      </c>
      <c r="B23" s="3" t="s">
        <v>29</v>
      </c>
      <c r="C23" s="3" t="s">
        <v>66</v>
      </c>
      <c r="D23" s="4">
        <v>4</v>
      </c>
      <c r="E23" s="4">
        <v>3</v>
      </c>
      <c r="F23" s="4">
        <v>4</v>
      </c>
      <c r="G23" s="4">
        <v>4</v>
      </c>
      <c r="H23" s="4">
        <v>3</v>
      </c>
      <c r="I23" s="4">
        <v>5</v>
      </c>
      <c r="J23" s="4">
        <v>3</v>
      </c>
      <c r="K23" s="4">
        <v>4</v>
      </c>
      <c r="L23" s="4">
        <v>4</v>
      </c>
      <c r="M23" s="4">
        <v>4</v>
      </c>
      <c r="N23" s="4">
        <v>3</v>
      </c>
      <c r="O23" s="4">
        <v>3</v>
      </c>
      <c r="P23" s="4">
        <v>2</v>
      </c>
      <c r="Q23" s="4">
        <v>2</v>
      </c>
      <c r="R23" s="4">
        <v>2</v>
      </c>
      <c r="S23" s="4">
        <v>4</v>
      </c>
      <c r="T23" s="4">
        <v>5</v>
      </c>
      <c r="U23" s="4">
        <v>4</v>
      </c>
      <c r="V23" s="4">
        <v>4</v>
      </c>
      <c r="W23" s="4">
        <v>3</v>
      </c>
      <c r="X23" s="5">
        <f t="shared" si="0"/>
        <v>3.6</v>
      </c>
      <c r="Y23" s="5">
        <f t="shared" si="1"/>
        <v>4</v>
      </c>
      <c r="Z23" s="5">
        <f t="shared" si="2"/>
        <v>2.4</v>
      </c>
      <c r="AA23" s="5">
        <f t="shared" si="3"/>
        <v>4</v>
      </c>
      <c r="AB23" s="4">
        <f t="shared" si="4"/>
        <v>18</v>
      </c>
      <c r="AC23" s="4">
        <f t="shared" si="5"/>
        <v>20</v>
      </c>
      <c r="AD23" s="4">
        <f t="shared" si="6"/>
        <v>12</v>
      </c>
      <c r="AE23" s="4">
        <f t="shared" si="7"/>
        <v>20</v>
      </c>
      <c r="AF23" s="9">
        <f t="shared" si="8"/>
        <v>12.96</v>
      </c>
      <c r="AG23" s="9">
        <f t="shared" si="9"/>
        <v>16</v>
      </c>
      <c r="AH23" s="9">
        <f t="shared" si="10"/>
        <v>5.76</v>
      </c>
      <c r="AI23" s="9">
        <f t="shared" si="11"/>
        <v>16</v>
      </c>
    </row>
    <row r="24" spans="1:35" ht="20" customHeight="1">
      <c r="A24" s="8">
        <v>23</v>
      </c>
      <c r="B24" s="3" t="s">
        <v>31</v>
      </c>
      <c r="C24" s="3" t="s">
        <v>66</v>
      </c>
      <c r="D24" s="4">
        <v>4</v>
      </c>
      <c r="E24" s="4">
        <v>5</v>
      </c>
      <c r="F24" s="4">
        <v>5</v>
      </c>
      <c r="G24" s="4">
        <v>4</v>
      </c>
      <c r="H24" s="4">
        <v>4</v>
      </c>
      <c r="I24" s="4">
        <v>5</v>
      </c>
      <c r="J24" s="4">
        <v>4</v>
      </c>
      <c r="K24" s="4">
        <v>4</v>
      </c>
      <c r="L24" s="4">
        <v>4</v>
      </c>
      <c r="M24" s="4">
        <v>4</v>
      </c>
      <c r="N24" s="4">
        <v>5</v>
      </c>
      <c r="O24" s="4">
        <v>5</v>
      </c>
      <c r="P24" s="4">
        <v>4</v>
      </c>
      <c r="Q24" s="4">
        <v>4</v>
      </c>
      <c r="R24" s="4">
        <v>4</v>
      </c>
      <c r="S24" s="4">
        <v>3</v>
      </c>
      <c r="T24" s="4">
        <v>4</v>
      </c>
      <c r="U24" s="4">
        <v>5</v>
      </c>
      <c r="V24" s="4">
        <v>4</v>
      </c>
      <c r="W24" s="4">
        <v>3</v>
      </c>
      <c r="X24" s="5">
        <f t="shared" si="0"/>
        <v>4.4000000000000004</v>
      </c>
      <c r="Y24" s="5">
        <f t="shared" si="1"/>
        <v>4.2</v>
      </c>
      <c r="Z24" s="5">
        <f t="shared" si="2"/>
        <v>4.4000000000000004</v>
      </c>
      <c r="AA24" s="5">
        <f t="shared" si="3"/>
        <v>3.8</v>
      </c>
      <c r="AB24" s="4">
        <f t="shared" si="4"/>
        <v>22</v>
      </c>
      <c r="AC24" s="4">
        <f t="shared" si="5"/>
        <v>21</v>
      </c>
      <c r="AD24" s="4">
        <f t="shared" si="6"/>
        <v>22</v>
      </c>
      <c r="AE24" s="4">
        <f t="shared" si="7"/>
        <v>19</v>
      </c>
      <c r="AF24" s="9">
        <f t="shared" si="8"/>
        <v>19.360000000000003</v>
      </c>
      <c r="AG24" s="9">
        <f t="shared" si="9"/>
        <v>17.64</v>
      </c>
      <c r="AH24" s="9">
        <f t="shared" si="10"/>
        <v>19.360000000000003</v>
      </c>
      <c r="AI24" s="9">
        <f t="shared" si="11"/>
        <v>14.44</v>
      </c>
    </row>
    <row r="25" spans="1:35" ht="20" customHeight="1">
      <c r="A25" s="8">
        <v>24</v>
      </c>
      <c r="B25" s="3" t="s">
        <v>31</v>
      </c>
      <c r="C25" s="3" t="s">
        <v>67</v>
      </c>
      <c r="D25" s="4">
        <v>3</v>
      </c>
      <c r="E25" s="4">
        <v>4</v>
      </c>
      <c r="F25" s="4">
        <v>4</v>
      </c>
      <c r="G25" s="4">
        <v>4</v>
      </c>
      <c r="H25" s="4">
        <v>3</v>
      </c>
      <c r="I25" s="4">
        <v>2</v>
      </c>
      <c r="J25" s="4">
        <v>1</v>
      </c>
      <c r="K25" s="4">
        <v>2</v>
      </c>
      <c r="L25" s="4">
        <v>1</v>
      </c>
      <c r="M25" s="4">
        <v>2</v>
      </c>
      <c r="N25" s="4">
        <v>3</v>
      </c>
      <c r="O25" s="4">
        <v>3</v>
      </c>
      <c r="P25" s="4">
        <v>3</v>
      </c>
      <c r="Q25" s="4">
        <v>2</v>
      </c>
      <c r="R25" s="4">
        <v>3</v>
      </c>
      <c r="S25" s="4">
        <v>5</v>
      </c>
      <c r="T25" s="4">
        <v>4</v>
      </c>
      <c r="U25" s="4">
        <v>5</v>
      </c>
      <c r="V25" s="4">
        <v>4</v>
      </c>
      <c r="W25" s="4">
        <v>4</v>
      </c>
      <c r="X25" s="5">
        <f t="shared" si="0"/>
        <v>3.6</v>
      </c>
      <c r="Y25" s="5">
        <f t="shared" si="1"/>
        <v>1.6</v>
      </c>
      <c r="Z25" s="5">
        <f t="shared" si="2"/>
        <v>2.8</v>
      </c>
      <c r="AA25" s="5">
        <f t="shared" si="3"/>
        <v>4.4000000000000004</v>
      </c>
      <c r="AB25" s="4">
        <f t="shared" si="4"/>
        <v>18</v>
      </c>
      <c r="AC25" s="4">
        <f t="shared" si="5"/>
        <v>8</v>
      </c>
      <c r="AD25" s="4">
        <f t="shared" si="6"/>
        <v>14</v>
      </c>
      <c r="AE25" s="4">
        <f t="shared" si="7"/>
        <v>22</v>
      </c>
      <c r="AF25" s="9">
        <f t="shared" si="8"/>
        <v>12.96</v>
      </c>
      <c r="AG25" s="9">
        <f t="shared" si="9"/>
        <v>2.5600000000000005</v>
      </c>
      <c r="AH25" s="9">
        <f t="shared" si="10"/>
        <v>7.839999999999999</v>
      </c>
      <c r="AI25" s="9">
        <f t="shared" si="11"/>
        <v>19.360000000000003</v>
      </c>
    </row>
    <row r="26" spans="1:35" ht="20" customHeight="1">
      <c r="A26" s="8">
        <v>25</v>
      </c>
      <c r="B26" s="3" t="s">
        <v>29</v>
      </c>
      <c r="C26" s="3" t="s">
        <v>66</v>
      </c>
      <c r="D26" s="4">
        <v>3</v>
      </c>
      <c r="E26" s="4">
        <v>3</v>
      </c>
      <c r="F26" s="4">
        <v>3</v>
      </c>
      <c r="G26" s="4">
        <v>3</v>
      </c>
      <c r="H26" s="4">
        <v>4</v>
      </c>
      <c r="I26" s="4">
        <v>5</v>
      </c>
      <c r="J26" s="4">
        <v>4</v>
      </c>
      <c r="K26" s="4">
        <v>4</v>
      </c>
      <c r="L26" s="4">
        <v>3</v>
      </c>
      <c r="M26" s="4">
        <v>4</v>
      </c>
      <c r="N26" s="4">
        <v>3</v>
      </c>
      <c r="O26" s="4">
        <v>2</v>
      </c>
      <c r="P26" s="4">
        <v>2</v>
      </c>
      <c r="Q26" s="4">
        <v>2</v>
      </c>
      <c r="R26" s="4">
        <v>3</v>
      </c>
      <c r="S26" s="4">
        <v>4</v>
      </c>
      <c r="T26" s="4">
        <v>4</v>
      </c>
      <c r="U26" s="4">
        <v>5</v>
      </c>
      <c r="V26" s="4">
        <v>5</v>
      </c>
      <c r="W26" s="4">
        <v>4</v>
      </c>
      <c r="X26" s="5">
        <f t="shared" si="0"/>
        <v>3.2</v>
      </c>
      <c r="Y26" s="5">
        <f t="shared" si="1"/>
        <v>4</v>
      </c>
      <c r="Z26" s="5">
        <f t="shared" si="2"/>
        <v>2.4</v>
      </c>
      <c r="AA26" s="5">
        <f t="shared" si="3"/>
        <v>4.4000000000000004</v>
      </c>
      <c r="AB26" s="4">
        <f t="shared" si="4"/>
        <v>16</v>
      </c>
      <c r="AC26" s="4">
        <f t="shared" si="5"/>
        <v>20</v>
      </c>
      <c r="AD26" s="4">
        <f t="shared" si="6"/>
        <v>12</v>
      </c>
      <c r="AE26" s="4">
        <f t="shared" si="7"/>
        <v>22</v>
      </c>
      <c r="AF26" s="9">
        <f t="shared" si="8"/>
        <v>10.240000000000002</v>
      </c>
      <c r="AG26" s="9">
        <f t="shared" si="9"/>
        <v>16</v>
      </c>
      <c r="AH26" s="9">
        <f t="shared" si="10"/>
        <v>5.76</v>
      </c>
      <c r="AI26" s="9">
        <f t="shared" si="11"/>
        <v>19.360000000000003</v>
      </c>
    </row>
    <row r="27" spans="1:35" ht="20" customHeight="1">
      <c r="A27" s="8">
        <v>26</v>
      </c>
      <c r="B27" s="3" t="s">
        <v>31</v>
      </c>
      <c r="C27" s="3" t="s">
        <v>68</v>
      </c>
      <c r="D27" s="4">
        <v>4</v>
      </c>
      <c r="E27" s="4">
        <v>5</v>
      </c>
      <c r="F27" s="4">
        <v>4</v>
      </c>
      <c r="G27" s="4">
        <v>4</v>
      </c>
      <c r="H27" s="4">
        <v>4</v>
      </c>
      <c r="I27" s="4">
        <v>4</v>
      </c>
      <c r="J27" s="4">
        <v>4</v>
      </c>
      <c r="K27" s="4">
        <v>4</v>
      </c>
      <c r="L27" s="4">
        <v>4</v>
      </c>
      <c r="M27" s="4">
        <v>4</v>
      </c>
      <c r="N27" s="4">
        <v>3</v>
      </c>
      <c r="O27" s="4">
        <v>3</v>
      </c>
      <c r="P27" s="4">
        <v>4</v>
      </c>
      <c r="Q27" s="4">
        <v>3</v>
      </c>
      <c r="R27" s="4">
        <v>3</v>
      </c>
      <c r="S27" s="4">
        <v>5</v>
      </c>
      <c r="T27" s="4">
        <v>3</v>
      </c>
      <c r="U27" s="4">
        <v>3</v>
      </c>
      <c r="V27" s="4">
        <v>4</v>
      </c>
      <c r="W27" s="4">
        <v>3</v>
      </c>
      <c r="X27" s="5">
        <f t="shared" si="0"/>
        <v>4.2</v>
      </c>
      <c r="Y27" s="5">
        <f t="shared" si="1"/>
        <v>4</v>
      </c>
      <c r="Z27" s="5">
        <f t="shared" si="2"/>
        <v>3.2</v>
      </c>
      <c r="AA27" s="5">
        <f t="shared" si="3"/>
        <v>3.6</v>
      </c>
      <c r="AB27" s="4">
        <f t="shared" si="4"/>
        <v>21</v>
      </c>
      <c r="AC27" s="4">
        <f t="shared" si="5"/>
        <v>20</v>
      </c>
      <c r="AD27" s="4">
        <f t="shared" si="6"/>
        <v>16</v>
      </c>
      <c r="AE27" s="4">
        <f t="shared" si="7"/>
        <v>18</v>
      </c>
      <c r="AF27" s="9">
        <f t="shared" si="8"/>
        <v>17.64</v>
      </c>
      <c r="AG27" s="9">
        <f t="shared" si="9"/>
        <v>16</v>
      </c>
      <c r="AH27" s="9">
        <f t="shared" si="10"/>
        <v>10.240000000000002</v>
      </c>
      <c r="AI27" s="9">
        <f t="shared" si="11"/>
        <v>12.96</v>
      </c>
    </row>
    <row r="28" spans="1:35" ht="20" customHeight="1">
      <c r="A28" s="8">
        <v>27</v>
      </c>
      <c r="B28" s="3" t="s">
        <v>31</v>
      </c>
      <c r="C28" s="3" t="s">
        <v>68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4">
        <v>4</v>
      </c>
      <c r="J28" s="4">
        <v>3</v>
      </c>
      <c r="K28" s="4">
        <v>4</v>
      </c>
      <c r="L28" s="4">
        <v>3</v>
      </c>
      <c r="M28" s="4">
        <v>4</v>
      </c>
      <c r="N28" s="4">
        <v>4</v>
      </c>
      <c r="O28" s="4">
        <v>5</v>
      </c>
      <c r="P28" s="4">
        <v>4</v>
      </c>
      <c r="Q28" s="4">
        <v>4</v>
      </c>
      <c r="R28" s="4">
        <v>4</v>
      </c>
      <c r="S28" s="4">
        <v>3</v>
      </c>
      <c r="T28" s="4">
        <v>3</v>
      </c>
      <c r="U28" s="4">
        <v>4</v>
      </c>
      <c r="V28" s="4">
        <v>2</v>
      </c>
      <c r="W28" s="4">
        <v>2</v>
      </c>
      <c r="X28" s="5">
        <f t="shared" si="0"/>
        <v>4</v>
      </c>
      <c r="Y28" s="5">
        <f t="shared" si="1"/>
        <v>3.6</v>
      </c>
      <c r="Z28" s="5">
        <f t="shared" si="2"/>
        <v>4.2</v>
      </c>
      <c r="AA28" s="5">
        <f t="shared" si="3"/>
        <v>2.8</v>
      </c>
      <c r="AB28" s="4">
        <f t="shared" si="4"/>
        <v>20</v>
      </c>
      <c r="AC28" s="4">
        <f t="shared" si="5"/>
        <v>18</v>
      </c>
      <c r="AD28" s="4">
        <f t="shared" si="6"/>
        <v>21</v>
      </c>
      <c r="AE28" s="4">
        <f t="shared" si="7"/>
        <v>14</v>
      </c>
      <c r="AF28" s="9">
        <f t="shared" si="8"/>
        <v>16</v>
      </c>
      <c r="AG28" s="9">
        <f t="shared" si="9"/>
        <v>12.96</v>
      </c>
      <c r="AH28" s="9">
        <f t="shared" si="10"/>
        <v>17.64</v>
      </c>
      <c r="AI28" s="9">
        <f t="shared" si="11"/>
        <v>7.839999999999999</v>
      </c>
    </row>
    <row r="29" spans="1:35" ht="20" customHeight="1">
      <c r="A29" s="8">
        <v>28</v>
      </c>
      <c r="B29" s="3" t="s">
        <v>29</v>
      </c>
      <c r="C29" s="3" t="s">
        <v>68</v>
      </c>
      <c r="D29" s="4">
        <v>4</v>
      </c>
      <c r="E29" s="4">
        <v>3</v>
      </c>
      <c r="F29" s="4">
        <v>3</v>
      </c>
      <c r="G29" s="4">
        <v>4</v>
      </c>
      <c r="H29" s="4">
        <v>3</v>
      </c>
      <c r="I29" s="4">
        <v>2</v>
      </c>
      <c r="J29" s="4">
        <v>2</v>
      </c>
      <c r="K29" s="4">
        <v>1</v>
      </c>
      <c r="L29" s="4">
        <v>2</v>
      </c>
      <c r="M29" s="4">
        <v>1</v>
      </c>
      <c r="N29" s="4">
        <v>3</v>
      </c>
      <c r="O29" s="4">
        <v>3</v>
      </c>
      <c r="P29" s="4">
        <v>4</v>
      </c>
      <c r="Q29" s="4">
        <v>4</v>
      </c>
      <c r="R29" s="4">
        <v>3</v>
      </c>
      <c r="S29" s="4">
        <v>3</v>
      </c>
      <c r="T29" s="4">
        <v>4</v>
      </c>
      <c r="U29" s="4">
        <v>4</v>
      </c>
      <c r="V29" s="4">
        <v>4</v>
      </c>
      <c r="W29" s="4">
        <v>4</v>
      </c>
      <c r="X29" s="5">
        <f t="shared" si="0"/>
        <v>3.4</v>
      </c>
      <c r="Y29" s="5">
        <f t="shared" si="1"/>
        <v>1.6</v>
      </c>
      <c r="Z29" s="5">
        <f t="shared" si="2"/>
        <v>3.4</v>
      </c>
      <c r="AA29" s="5">
        <f t="shared" si="3"/>
        <v>3.8</v>
      </c>
      <c r="AB29" s="4">
        <f t="shared" si="4"/>
        <v>17</v>
      </c>
      <c r="AC29" s="4">
        <f t="shared" si="5"/>
        <v>8</v>
      </c>
      <c r="AD29" s="4">
        <f t="shared" si="6"/>
        <v>17</v>
      </c>
      <c r="AE29" s="4">
        <f t="shared" si="7"/>
        <v>19</v>
      </c>
      <c r="AF29" s="9">
        <f t="shared" si="8"/>
        <v>11.559999999999999</v>
      </c>
      <c r="AG29" s="9">
        <f t="shared" si="9"/>
        <v>2.5600000000000005</v>
      </c>
      <c r="AH29" s="9">
        <f t="shared" si="10"/>
        <v>11.559999999999999</v>
      </c>
      <c r="AI29" s="9">
        <f t="shared" si="11"/>
        <v>14.44</v>
      </c>
    </row>
    <row r="30" spans="1:35" ht="20" customHeight="1">
      <c r="A30" s="8">
        <v>29</v>
      </c>
      <c r="B30" s="3" t="s">
        <v>29</v>
      </c>
      <c r="C30" s="3" t="s">
        <v>66</v>
      </c>
      <c r="D30" s="4">
        <v>5</v>
      </c>
      <c r="E30" s="4">
        <v>4</v>
      </c>
      <c r="F30" s="4">
        <v>5</v>
      </c>
      <c r="G30" s="4">
        <v>4</v>
      </c>
      <c r="H30" s="4">
        <v>4</v>
      </c>
      <c r="I30" s="4">
        <v>3</v>
      </c>
      <c r="J30" s="4">
        <v>4</v>
      </c>
      <c r="K30" s="4">
        <v>3</v>
      </c>
      <c r="L30" s="4">
        <v>4</v>
      </c>
      <c r="M30" s="4">
        <v>5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4</v>
      </c>
      <c r="T30" s="4">
        <v>4</v>
      </c>
      <c r="U30" s="4">
        <v>3</v>
      </c>
      <c r="V30" s="4">
        <v>3</v>
      </c>
      <c r="W30" s="4">
        <v>4</v>
      </c>
      <c r="X30" s="5">
        <f t="shared" si="0"/>
        <v>4.4000000000000004</v>
      </c>
      <c r="Y30" s="5">
        <f t="shared" si="1"/>
        <v>3.8</v>
      </c>
      <c r="Z30" s="5">
        <f t="shared" si="2"/>
        <v>3</v>
      </c>
      <c r="AA30" s="5">
        <f t="shared" si="3"/>
        <v>3.6</v>
      </c>
      <c r="AB30" s="4">
        <f t="shared" si="4"/>
        <v>22</v>
      </c>
      <c r="AC30" s="4">
        <f t="shared" si="5"/>
        <v>19</v>
      </c>
      <c r="AD30" s="4">
        <f t="shared" si="6"/>
        <v>15</v>
      </c>
      <c r="AE30" s="4">
        <f t="shared" si="7"/>
        <v>18</v>
      </c>
      <c r="AF30" s="9">
        <f t="shared" si="8"/>
        <v>19.360000000000003</v>
      </c>
      <c r="AG30" s="9">
        <f t="shared" si="9"/>
        <v>14.44</v>
      </c>
      <c r="AH30" s="9">
        <f t="shared" si="10"/>
        <v>9</v>
      </c>
      <c r="AI30" s="9">
        <f t="shared" si="11"/>
        <v>12.96</v>
      </c>
    </row>
    <row r="31" spans="1:35" ht="20" customHeight="1">
      <c r="A31" s="8">
        <v>30</v>
      </c>
      <c r="B31" s="3" t="s">
        <v>29</v>
      </c>
      <c r="C31" s="3" t="s">
        <v>68</v>
      </c>
      <c r="D31" s="4">
        <v>3</v>
      </c>
      <c r="E31" s="4">
        <v>3</v>
      </c>
      <c r="F31" s="4">
        <v>3</v>
      </c>
      <c r="G31" s="4">
        <v>3</v>
      </c>
      <c r="H31" s="4">
        <v>3</v>
      </c>
      <c r="I31" s="4">
        <v>3</v>
      </c>
      <c r="J31" s="4">
        <v>3</v>
      </c>
      <c r="K31" s="4">
        <v>3</v>
      </c>
      <c r="L31" s="4">
        <v>4</v>
      </c>
      <c r="M31" s="4">
        <v>3</v>
      </c>
      <c r="N31" s="4">
        <v>4</v>
      </c>
      <c r="O31" s="4">
        <v>4</v>
      </c>
      <c r="P31" s="4">
        <v>4</v>
      </c>
      <c r="Q31" s="4">
        <v>4</v>
      </c>
      <c r="R31" s="4">
        <v>4</v>
      </c>
      <c r="S31" s="4">
        <v>5</v>
      </c>
      <c r="T31" s="4">
        <v>5</v>
      </c>
      <c r="U31" s="4">
        <v>5</v>
      </c>
      <c r="V31" s="4">
        <v>4</v>
      </c>
      <c r="W31" s="4">
        <v>4</v>
      </c>
      <c r="X31" s="5">
        <f t="shared" si="0"/>
        <v>3</v>
      </c>
      <c r="Y31" s="5">
        <f t="shared" si="1"/>
        <v>3.2</v>
      </c>
      <c r="Z31" s="5">
        <f t="shared" si="2"/>
        <v>4</v>
      </c>
      <c r="AA31" s="5">
        <f t="shared" si="3"/>
        <v>4.5999999999999996</v>
      </c>
      <c r="AB31" s="4">
        <f t="shared" si="4"/>
        <v>15</v>
      </c>
      <c r="AC31" s="4">
        <f t="shared" si="5"/>
        <v>16</v>
      </c>
      <c r="AD31" s="4">
        <f t="shared" si="6"/>
        <v>20</v>
      </c>
      <c r="AE31" s="4">
        <f t="shared" si="7"/>
        <v>23</v>
      </c>
      <c r="AF31" s="9">
        <f t="shared" si="8"/>
        <v>9</v>
      </c>
      <c r="AG31" s="9">
        <f t="shared" si="9"/>
        <v>10.240000000000002</v>
      </c>
      <c r="AH31" s="9">
        <f t="shared" si="10"/>
        <v>16</v>
      </c>
      <c r="AI31" s="9">
        <f t="shared" si="11"/>
        <v>21.159999999999997</v>
      </c>
    </row>
    <row r="32" spans="1:35" ht="20" customHeight="1">
      <c r="A32" s="8">
        <v>31</v>
      </c>
      <c r="B32" s="3" t="s">
        <v>34</v>
      </c>
      <c r="C32" s="3" t="s">
        <v>68</v>
      </c>
      <c r="D32" s="4">
        <v>4</v>
      </c>
      <c r="E32" s="4">
        <v>3</v>
      </c>
      <c r="F32" s="4">
        <v>3</v>
      </c>
      <c r="G32" s="4">
        <v>3</v>
      </c>
      <c r="H32" s="4">
        <v>3</v>
      </c>
      <c r="I32" s="4">
        <v>4</v>
      </c>
      <c r="J32" s="4">
        <v>3</v>
      </c>
      <c r="K32" s="4">
        <v>3</v>
      </c>
      <c r="L32" s="4">
        <v>3</v>
      </c>
      <c r="M32" s="4">
        <v>4</v>
      </c>
      <c r="N32" s="4">
        <v>4</v>
      </c>
      <c r="O32" s="4">
        <v>4</v>
      </c>
      <c r="P32" s="4">
        <v>4</v>
      </c>
      <c r="Q32" s="4">
        <v>4</v>
      </c>
      <c r="R32" s="4">
        <v>4</v>
      </c>
      <c r="S32" s="4">
        <v>5</v>
      </c>
      <c r="T32" s="4">
        <v>5</v>
      </c>
      <c r="U32" s="4">
        <v>5</v>
      </c>
      <c r="V32" s="4">
        <v>5</v>
      </c>
      <c r="W32" s="4">
        <v>5</v>
      </c>
      <c r="X32" s="5">
        <f t="shared" si="0"/>
        <v>3.2</v>
      </c>
      <c r="Y32" s="5">
        <f t="shared" si="1"/>
        <v>3.4</v>
      </c>
      <c r="Z32" s="5">
        <f t="shared" si="2"/>
        <v>4</v>
      </c>
      <c r="AA32" s="5">
        <f t="shared" si="3"/>
        <v>5</v>
      </c>
      <c r="AB32" s="4">
        <f t="shared" si="4"/>
        <v>16</v>
      </c>
      <c r="AC32" s="4">
        <f t="shared" si="5"/>
        <v>17</v>
      </c>
      <c r="AD32" s="4">
        <f t="shared" si="6"/>
        <v>20</v>
      </c>
      <c r="AE32" s="4">
        <f t="shared" si="7"/>
        <v>25</v>
      </c>
      <c r="AF32" s="9">
        <f t="shared" si="8"/>
        <v>10.240000000000002</v>
      </c>
      <c r="AG32" s="9">
        <f t="shared" si="9"/>
        <v>11.559999999999999</v>
      </c>
      <c r="AH32" s="9">
        <f t="shared" si="10"/>
        <v>16</v>
      </c>
      <c r="AI32" s="9">
        <f t="shared" si="11"/>
        <v>25</v>
      </c>
    </row>
    <row r="33" spans="1:35" ht="20" customHeight="1">
      <c r="A33" s="8">
        <v>32</v>
      </c>
      <c r="B33" s="3" t="s">
        <v>29</v>
      </c>
      <c r="C33" s="3" t="s">
        <v>66</v>
      </c>
      <c r="D33" s="4">
        <v>4</v>
      </c>
      <c r="E33" s="4">
        <v>5</v>
      </c>
      <c r="F33" s="4">
        <v>4</v>
      </c>
      <c r="G33" s="4">
        <v>4</v>
      </c>
      <c r="H33" s="4">
        <v>4</v>
      </c>
      <c r="I33" s="4">
        <v>4</v>
      </c>
      <c r="J33" s="4">
        <v>5</v>
      </c>
      <c r="K33" s="4">
        <v>5</v>
      </c>
      <c r="L33" s="4">
        <v>5</v>
      </c>
      <c r="M33" s="4">
        <v>4</v>
      </c>
      <c r="N33" s="4">
        <v>5</v>
      </c>
      <c r="O33" s="4">
        <v>5</v>
      </c>
      <c r="P33" s="4">
        <v>4</v>
      </c>
      <c r="Q33" s="4">
        <v>5</v>
      </c>
      <c r="R33" s="4">
        <v>4</v>
      </c>
      <c r="S33" s="4">
        <v>4</v>
      </c>
      <c r="T33" s="4">
        <v>5</v>
      </c>
      <c r="U33" s="4">
        <v>5</v>
      </c>
      <c r="V33" s="4">
        <v>5</v>
      </c>
      <c r="W33" s="4">
        <v>4</v>
      </c>
      <c r="X33" s="5">
        <f t="shared" si="0"/>
        <v>4.2</v>
      </c>
      <c r="Y33" s="5">
        <f t="shared" si="1"/>
        <v>4.5999999999999996</v>
      </c>
      <c r="Z33" s="5">
        <f t="shared" si="2"/>
        <v>4.5999999999999996</v>
      </c>
      <c r="AA33" s="5">
        <f t="shared" si="3"/>
        <v>4.5999999999999996</v>
      </c>
      <c r="AB33" s="4">
        <f t="shared" si="4"/>
        <v>21</v>
      </c>
      <c r="AC33" s="4">
        <f t="shared" si="5"/>
        <v>23</v>
      </c>
      <c r="AD33" s="4">
        <f t="shared" si="6"/>
        <v>23</v>
      </c>
      <c r="AE33" s="4">
        <f t="shared" si="7"/>
        <v>23</v>
      </c>
      <c r="AF33" s="9">
        <f t="shared" si="8"/>
        <v>17.64</v>
      </c>
      <c r="AG33" s="9">
        <f t="shared" si="9"/>
        <v>21.159999999999997</v>
      </c>
      <c r="AH33" s="9">
        <f t="shared" si="10"/>
        <v>21.159999999999997</v>
      </c>
      <c r="AI33" s="9">
        <f t="shared" si="11"/>
        <v>21.159999999999997</v>
      </c>
    </row>
    <row r="34" spans="1:35" ht="20" customHeight="1">
      <c r="A34" s="8">
        <v>33</v>
      </c>
      <c r="B34" s="3" t="s">
        <v>29</v>
      </c>
      <c r="C34" s="3" t="s">
        <v>66</v>
      </c>
      <c r="D34" s="4">
        <v>3</v>
      </c>
      <c r="E34" s="4">
        <v>3</v>
      </c>
      <c r="F34" s="4">
        <v>4</v>
      </c>
      <c r="G34" s="4">
        <v>3</v>
      </c>
      <c r="H34" s="4">
        <v>3</v>
      </c>
      <c r="I34" s="4">
        <v>4</v>
      </c>
      <c r="J34" s="4">
        <v>4</v>
      </c>
      <c r="K34" s="4">
        <v>5</v>
      </c>
      <c r="L34" s="4">
        <v>4</v>
      </c>
      <c r="M34" s="4">
        <v>4</v>
      </c>
      <c r="N34" s="4">
        <v>3</v>
      </c>
      <c r="O34" s="4">
        <v>3</v>
      </c>
      <c r="P34" s="4">
        <v>4</v>
      </c>
      <c r="Q34" s="4">
        <v>3</v>
      </c>
      <c r="R34" s="4">
        <v>4</v>
      </c>
      <c r="S34" s="4">
        <v>3</v>
      </c>
      <c r="T34" s="4">
        <v>4</v>
      </c>
      <c r="U34" s="4">
        <v>4</v>
      </c>
      <c r="V34" s="4">
        <v>2</v>
      </c>
      <c r="W34" s="4">
        <v>4</v>
      </c>
      <c r="X34" s="5">
        <f t="shared" ref="X34:X60" si="12">AVERAGE(D34:H34)</f>
        <v>3.2</v>
      </c>
      <c r="Y34" s="5">
        <f t="shared" ref="Y34:Y60" si="13">AVERAGE(I34:M34)</f>
        <v>4.2</v>
      </c>
      <c r="Z34" s="5">
        <f t="shared" ref="Z34:Z60" si="14">AVERAGE(N34:R34)</f>
        <v>3.4</v>
      </c>
      <c r="AA34" s="5">
        <f t="shared" ref="AA34:AA60" si="15">AVERAGE(S34:W34)</f>
        <v>3.4</v>
      </c>
      <c r="AB34" s="4">
        <f t="shared" ref="AB34:AB60" si="16">SUM(D34:H34)</f>
        <v>16</v>
      </c>
      <c r="AC34" s="4">
        <f t="shared" ref="AC34:AC60" si="17">SUM(I34:M34)</f>
        <v>21</v>
      </c>
      <c r="AD34" s="4">
        <f t="shared" ref="AD34:AD60" si="18">SUM(N34:R34)</f>
        <v>17</v>
      </c>
      <c r="AE34" s="4">
        <f t="shared" ref="AE34:AE60" si="19">SUM(S34:W34)</f>
        <v>17</v>
      </c>
      <c r="AF34" s="9">
        <f t="shared" ref="AF34:AF60" si="20">X34^2</f>
        <v>10.240000000000002</v>
      </c>
      <c r="AG34" s="9">
        <f t="shared" ref="AG34:AG60" si="21">Y34^2</f>
        <v>17.64</v>
      </c>
      <c r="AH34" s="9">
        <f t="shared" ref="AH34:AH60" si="22">Z34^2</f>
        <v>11.559999999999999</v>
      </c>
      <c r="AI34" s="9">
        <f t="shared" ref="AI34:AI60" si="23">AA34^2</f>
        <v>11.559999999999999</v>
      </c>
    </row>
    <row r="35" spans="1:35" ht="20" customHeight="1">
      <c r="A35" s="8">
        <v>34</v>
      </c>
      <c r="B35" s="3" t="s">
        <v>34</v>
      </c>
      <c r="C35" s="3" t="s">
        <v>66</v>
      </c>
      <c r="D35" s="4">
        <v>3</v>
      </c>
      <c r="E35" s="4">
        <v>4</v>
      </c>
      <c r="F35" s="4">
        <v>4</v>
      </c>
      <c r="G35" s="4">
        <v>3</v>
      </c>
      <c r="H35" s="4">
        <v>3</v>
      </c>
      <c r="I35" s="4">
        <v>4</v>
      </c>
      <c r="J35" s="4">
        <v>5</v>
      </c>
      <c r="K35" s="4">
        <v>4</v>
      </c>
      <c r="L35" s="4">
        <v>4</v>
      </c>
      <c r="M35" s="4">
        <v>5</v>
      </c>
      <c r="N35" s="4">
        <v>4</v>
      </c>
      <c r="O35" s="4">
        <v>4</v>
      </c>
      <c r="P35" s="4">
        <v>4</v>
      </c>
      <c r="Q35" s="4">
        <v>4</v>
      </c>
      <c r="R35" s="4">
        <v>5</v>
      </c>
      <c r="S35" s="4">
        <v>4</v>
      </c>
      <c r="T35" s="4">
        <v>2</v>
      </c>
      <c r="U35" s="4">
        <v>3</v>
      </c>
      <c r="V35" s="4">
        <v>4</v>
      </c>
      <c r="W35" s="4">
        <v>4</v>
      </c>
      <c r="X35" s="5">
        <f t="shared" si="12"/>
        <v>3.4</v>
      </c>
      <c r="Y35" s="5">
        <f t="shared" si="13"/>
        <v>4.4000000000000004</v>
      </c>
      <c r="Z35" s="5">
        <f t="shared" si="14"/>
        <v>4.2</v>
      </c>
      <c r="AA35" s="5">
        <f t="shared" si="15"/>
        <v>3.4</v>
      </c>
      <c r="AB35" s="4">
        <f t="shared" si="16"/>
        <v>17</v>
      </c>
      <c r="AC35" s="4">
        <f t="shared" si="17"/>
        <v>22</v>
      </c>
      <c r="AD35" s="4">
        <f t="shared" si="18"/>
        <v>21</v>
      </c>
      <c r="AE35" s="4">
        <f t="shared" si="19"/>
        <v>17</v>
      </c>
      <c r="AF35" s="9">
        <f t="shared" si="20"/>
        <v>11.559999999999999</v>
      </c>
      <c r="AG35" s="9">
        <f t="shared" si="21"/>
        <v>19.360000000000003</v>
      </c>
      <c r="AH35" s="9">
        <f t="shared" si="22"/>
        <v>17.64</v>
      </c>
      <c r="AI35" s="9">
        <f t="shared" si="23"/>
        <v>11.559999999999999</v>
      </c>
    </row>
    <row r="36" spans="1:35" ht="20" customHeight="1">
      <c r="A36" s="8">
        <v>35</v>
      </c>
      <c r="B36" s="3" t="s">
        <v>29</v>
      </c>
      <c r="C36" s="3" t="s">
        <v>68</v>
      </c>
      <c r="D36" s="4">
        <v>3</v>
      </c>
      <c r="E36" s="4">
        <v>3</v>
      </c>
      <c r="F36" s="4">
        <v>4</v>
      </c>
      <c r="G36" s="4">
        <v>3</v>
      </c>
      <c r="H36" s="4">
        <v>3</v>
      </c>
      <c r="I36" s="4">
        <v>4</v>
      </c>
      <c r="J36" s="4">
        <v>4</v>
      </c>
      <c r="K36" s="4">
        <v>3</v>
      </c>
      <c r="L36" s="4">
        <v>4</v>
      </c>
      <c r="M36" s="4">
        <v>3</v>
      </c>
      <c r="N36" s="4">
        <v>4</v>
      </c>
      <c r="O36" s="4">
        <v>4</v>
      </c>
      <c r="P36" s="4">
        <v>5</v>
      </c>
      <c r="Q36" s="4">
        <v>4</v>
      </c>
      <c r="R36" s="4">
        <v>5</v>
      </c>
      <c r="S36" s="4">
        <v>4</v>
      </c>
      <c r="T36" s="4">
        <v>4</v>
      </c>
      <c r="U36" s="4">
        <v>4</v>
      </c>
      <c r="V36" s="4">
        <v>3</v>
      </c>
      <c r="W36" s="4">
        <v>2</v>
      </c>
      <c r="X36" s="5">
        <f t="shared" si="12"/>
        <v>3.2</v>
      </c>
      <c r="Y36" s="5">
        <f t="shared" si="13"/>
        <v>3.6</v>
      </c>
      <c r="Z36" s="5">
        <f t="shared" si="14"/>
        <v>4.4000000000000004</v>
      </c>
      <c r="AA36" s="5">
        <f t="shared" si="15"/>
        <v>3.4</v>
      </c>
      <c r="AB36" s="4">
        <f t="shared" si="16"/>
        <v>16</v>
      </c>
      <c r="AC36" s="4">
        <f t="shared" si="17"/>
        <v>18</v>
      </c>
      <c r="AD36" s="4">
        <f t="shared" si="18"/>
        <v>22</v>
      </c>
      <c r="AE36" s="4">
        <f t="shared" si="19"/>
        <v>17</v>
      </c>
      <c r="AF36" s="9">
        <f t="shared" si="20"/>
        <v>10.240000000000002</v>
      </c>
      <c r="AG36" s="9">
        <f t="shared" si="21"/>
        <v>12.96</v>
      </c>
      <c r="AH36" s="9">
        <f t="shared" si="22"/>
        <v>19.360000000000003</v>
      </c>
      <c r="AI36" s="9">
        <f t="shared" si="23"/>
        <v>11.559999999999999</v>
      </c>
    </row>
    <row r="37" spans="1:35" ht="20" customHeight="1">
      <c r="A37" s="8">
        <v>36</v>
      </c>
      <c r="B37" s="3" t="s">
        <v>29</v>
      </c>
      <c r="C37" s="3" t="s">
        <v>68</v>
      </c>
      <c r="D37" s="4">
        <v>4</v>
      </c>
      <c r="E37" s="4">
        <v>4</v>
      </c>
      <c r="F37" s="4">
        <v>4</v>
      </c>
      <c r="G37" s="4">
        <v>3</v>
      </c>
      <c r="H37" s="4">
        <v>4</v>
      </c>
      <c r="I37" s="4">
        <v>3</v>
      </c>
      <c r="J37" s="4">
        <v>2</v>
      </c>
      <c r="K37" s="4">
        <v>2</v>
      </c>
      <c r="L37" s="4">
        <v>2</v>
      </c>
      <c r="M37" s="4">
        <v>2</v>
      </c>
      <c r="N37" s="4">
        <v>4</v>
      </c>
      <c r="O37" s="4">
        <v>4</v>
      </c>
      <c r="P37" s="4">
        <v>4</v>
      </c>
      <c r="Q37" s="4">
        <v>3</v>
      </c>
      <c r="R37" s="4">
        <v>4</v>
      </c>
      <c r="S37" s="4">
        <v>2</v>
      </c>
      <c r="T37" s="4">
        <v>4</v>
      </c>
      <c r="U37" s="4">
        <v>5</v>
      </c>
      <c r="V37" s="4">
        <v>3</v>
      </c>
      <c r="W37" s="4">
        <v>3</v>
      </c>
      <c r="X37" s="5">
        <f t="shared" si="12"/>
        <v>3.8</v>
      </c>
      <c r="Y37" s="5">
        <f t="shared" si="13"/>
        <v>2.2000000000000002</v>
      </c>
      <c r="Z37" s="5">
        <f t="shared" si="14"/>
        <v>3.8</v>
      </c>
      <c r="AA37" s="5">
        <f t="shared" si="15"/>
        <v>3.4</v>
      </c>
      <c r="AB37" s="4">
        <f t="shared" si="16"/>
        <v>19</v>
      </c>
      <c r="AC37" s="4">
        <f t="shared" si="17"/>
        <v>11</v>
      </c>
      <c r="AD37" s="4">
        <f t="shared" si="18"/>
        <v>19</v>
      </c>
      <c r="AE37" s="4">
        <f t="shared" si="19"/>
        <v>17</v>
      </c>
      <c r="AF37" s="9">
        <f t="shared" si="20"/>
        <v>14.44</v>
      </c>
      <c r="AG37" s="9">
        <f t="shared" si="21"/>
        <v>4.8400000000000007</v>
      </c>
      <c r="AH37" s="9">
        <f t="shared" si="22"/>
        <v>14.44</v>
      </c>
      <c r="AI37" s="9">
        <f t="shared" si="23"/>
        <v>11.559999999999999</v>
      </c>
    </row>
    <row r="38" spans="1:35" ht="20" customHeight="1">
      <c r="A38" s="8">
        <v>37</v>
      </c>
      <c r="B38" s="3" t="s">
        <v>31</v>
      </c>
      <c r="C38" s="3" t="s">
        <v>68</v>
      </c>
      <c r="D38" s="4">
        <v>4</v>
      </c>
      <c r="E38" s="4">
        <v>4</v>
      </c>
      <c r="F38" s="4">
        <v>4</v>
      </c>
      <c r="G38" s="4">
        <v>3</v>
      </c>
      <c r="H38" s="4">
        <v>4</v>
      </c>
      <c r="I38" s="4">
        <v>3</v>
      </c>
      <c r="J38" s="4">
        <v>3</v>
      </c>
      <c r="K38" s="4">
        <v>3</v>
      </c>
      <c r="L38" s="4">
        <v>3</v>
      </c>
      <c r="M38" s="4">
        <v>2</v>
      </c>
      <c r="N38" s="4">
        <v>4</v>
      </c>
      <c r="O38" s="4">
        <v>4</v>
      </c>
      <c r="P38" s="4">
        <v>4</v>
      </c>
      <c r="Q38" s="4">
        <v>4</v>
      </c>
      <c r="R38" s="4">
        <v>4</v>
      </c>
      <c r="S38" s="4">
        <v>3</v>
      </c>
      <c r="T38" s="4">
        <v>3</v>
      </c>
      <c r="U38" s="4">
        <v>2</v>
      </c>
      <c r="V38" s="4">
        <v>2</v>
      </c>
      <c r="W38" s="4">
        <v>3</v>
      </c>
      <c r="X38" s="5">
        <f t="shared" si="12"/>
        <v>3.8</v>
      </c>
      <c r="Y38" s="5">
        <f t="shared" si="13"/>
        <v>2.8</v>
      </c>
      <c r="Z38" s="5">
        <f t="shared" si="14"/>
        <v>4</v>
      </c>
      <c r="AA38" s="5">
        <f t="shared" si="15"/>
        <v>2.6</v>
      </c>
      <c r="AB38" s="4">
        <f t="shared" si="16"/>
        <v>19</v>
      </c>
      <c r="AC38" s="4">
        <f t="shared" si="17"/>
        <v>14</v>
      </c>
      <c r="AD38" s="4">
        <f t="shared" si="18"/>
        <v>20</v>
      </c>
      <c r="AE38" s="4">
        <f t="shared" si="19"/>
        <v>13</v>
      </c>
      <c r="AF38" s="9">
        <f t="shared" si="20"/>
        <v>14.44</v>
      </c>
      <c r="AG38" s="9">
        <f t="shared" si="21"/>
        <v>7.839999999999999</v>
      </c>
      <c r="AH38" s="9">
        <f t="shared" si="22"/>
        <v>16</v>
      </c>
      <c r="AI38" s="9">
        <f t="shared" si="23"/>
        <v>6.7600000000000007</v>
      </c>
    </row>
    <row r="39" spans="1:35" ht="20" customHeight="1">
      <c r="A39" s="8">
        <v>38</v>
      </c>
      <c r="B39" s="3" t="s">
        <v>27</v>
      </c>
      <c r="C39" s="3" t="s">
        <v>67</v>
      </c>
      <c r="D39" s="4">
        <v>5</v>
      </c>
      <c r="E39" s="4">
        <v>5</v>
      </c>
      <c r="F39" s="4">
        <v>5</v>
      </c>
      <c r="G39" s="4">
        <v>5</v>
      </c>
      <c r="H39" s="4">
        <v>5</v>
      </c>
      <c r="I39" s="4">
        <v>4</v>
      </c>
      <c r="J39" s="4">
        <v>4</v>
      </c>
      <c r="K39" s="4">
        <v>5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1</v>
      </c>
      <c r="T39" s="4">
        <v>2</v>
      </c>
      <c r="U39" s="4">
        <v>2</v>
      </c>
      <c r="V39" s="4">
        <v>2</v>
      </c>
      <c r="W39" s="4">
        <v>1</v>
      </c>
      <c r="X39" s="5">
        <f t="shared" si="12"/>
        <v>5</v>
      </c>
      <c r="Y39" s="5">
        <f t="shared" si="13"/>
        <v>3.8</v>
      </c>
      <c r="Z39" s="5">
        <f t="shared" si="14"/>
        <v>3</v>
      </c>
      <c r="AA39" s="5">
        <f t="shared" si="15"/>
        <v>1.6</v>
      </c>
      <c r="AB39" s="4">
        <f t="shared" si="16"/>
        <v>25</v>
      </c>
      <c r="AC39" s="4">
        <f t="shared" si="17"/>
        <v>19</v>
      </c>
      <c r="AD39" s="4">
        <f t="shared" si="18"/>
        <v>15</v>
      </c>
      <c r="AE39" s="4">
        <f t="shared" si="19"/>
        <v>8</v>
      </c>
      <c r="AF39" s="9">
        <f t="shared" si="20"/>
        <v>25</v>
      </c>
      <c r="AG39" s="9">
        <f t="shared" si="21"/>
        <v>14.44</v>
      </c>
      <c r="AH39" s="9">
        <f t="shared" si="22"/>
        <v>9</v>
      </c>
      <c r="AI39" s="9">
        <f t="shared" si="23"/>
        <v>2.5600000000000005</v>
      </c>
    </row>
    <row r="40" spans="1:35" ht="20" customHeight="1">
      <c r="A40" s="8">
        <v>39</v>
      </c>
      <c r="B40" s="3" t="s">
        <v>31</v>
      </c>
      <c r="C40" s="3" t="s">
        <v>68</v>
      </c>
      <c r="D40" s="4">
        <v>3</v>
      </c>
      <c r="E40" s="4">
        <v>3</v>
      </c>
      <c r="F40" s="4">
        <v>3</v>
      </c>
      <c r="G40" s="4">
        <v>3</v>
      </c>
      <c r="H40" s="4">
        <v>3</v>
      </c>
      <c r="I40" s="4">
        <v>4</v>
      </c>
      <c r="J40" s="4">
        <v>4</v>
      </c>
      <c r="K40" s="4">
        <v>5</v>
      </c>
      <c r="L40" s="4">
        <v>4</v>
      </c>
      <c r="M40" s="4">
        <v>5</v>
      </c>
      <c r="N40" s="4">
        <v>5</v>
      </c>
      <c r="O40" s="4">
        <v>5</v>
      </c>
      <c r="P40" s="4">
        <v>5</v>
      </c>
      <c r="Q40" s="4">
        <v>5</v>
      </c>
      <c r="R40" s="4">
        <v>5</v>
      </c>
      <c r="S40" s="4">
        <v>3</v>
      </c>
      <c r="T40" s="4">
        <v>4</v>
      </c>
      <c r="U40" s="4">
        <v>3</v>
      </c>
      <c r="V40" s="4">
        <v>2</v>
      </c>
      <c r="W40" s="4">
        <v>1</v>
      </c>
      <c r="X40" s="5">
        <f t="shared" si="12"/>
        <v>3</v>
      </c>
      <c r="Y40" s="5">
        <f t="shared" si="13"/>
        <v>4.4000000000000004</v>
      </c>
      <c r="Z40" s="5">
        <f t="shared" si="14"/>
        <v>5</v>
      </c>
      <c r="AA40" s="5">
        <f t="shared" si="15"/>
        <v>2.6</v>
      </c>
      <c r="AB40" s="4">
        <f t="shared" si="16"/>
        <v>15</v>
      </c>
      <c r="AC40" s="4">
        <f t="shared" si="17"/>
        <v>22</v>
      </c>
      <c r="AD40" s="4">
        <f t="shared" si="18"/>
        <v>25</v>
      </c>
      <c r="AE40" s="4">
        <f t="shared" si="19"/>
        <v>13</v>
      </c>
      <c r="AF40" s="9">
        <f t="shared" si="20"/>
        <v>9</v>
      </c>
      <c r="AG40" s="9">
        <f t="shared" si="21"/>
        <v>19.360000000000003</v>
      </c>
      <c r="AH40" s="9">
        <f t="shared" si="22"/>
        <v>25</v>
      </c>
      <c r="AI40" s="9">
        <f t="shared" si="23"/>
        <v>6.7600000000000007</v>
      </c>
    </row>
    <row r="41" spans="1:35" ht="20" customHeight="1">
      <c r="A41" s="8">
        <v>40</v>
      </c>
      <c r="B41" s="3" t="s">
        <v>31</v>
      </c>
      <c r="C41" s="3" t="s">
        <v>66</v>
      </c>
      <c r="D41" s="4">
        <v>5</v>
      </c>
      <c r="E41" s="4">
        <v>5</v>
      </c>
      <c r="F41" s="4">
        <v>5</v>
      </c>
      <c r="G41" s="4">
        <v>5</v>
      </c>
      <c r="H41" s="4">
        <v>5</v>
      </c>
      <c r="I41" s="4">
        <v>4</v>
      </c>
      <c r="J41" s="4">
        <v>4</v>
      </c>
      <c r="K41" s="4">
        <v>4</v>
      </c>
      <c r="L41" s="4">
        <v>3</v>
      </c>
      <c r="M41" s="4">
        <v>3</v>
      </c>
      <c r="N41" s="4">
        <v>5</v>
      </c>
      <c r="O41" s="4">
        <v>5</v>
      </c>
      <c r="P41" s="4">
        <v>4</v>
      </c>
      <c r="Q41" s="4">
        <v>5</v>
      </c>
      <c r="R41" s="4">
        <v>5</v>
      </c>
      <c r="S41" s="4">
        <v>5</v>
      </c>
      <c r="T41" s="4">
        <v>4</v>
      </c>
      <c r="U41" s="4">
        <v>5</v>
      </c>
      <c r="V41" s="4">
        <v>5</v>
      </c>
      <c r="W41" s="4">
        <v>5</v>
      </c>
      <c r="X41" s="5">
        <f t="shared" si="12"/>
        <v>5</v>
      </c>
      <c r="Y41" s="5">
        <f t="shared" si="13"/>
        <v>3.6</v>
      </c>
      <c r="Z41" s="5">
        <f t="shared" si="14"/>
        <v>4.8</v>
      </c>
      <c r="AA41" s="5">
        <f t="shared" si="15"/>
        <v>4.8</v>
      </c>
      <c r="AB41" s="4">
        <f t="shared" si="16"/>
        <v>25</v>
      </c>
      <c r="AC41" s="4">
        <f t="shared" si="17"/>
        <v>18</v>
      </c>
      <c r="AD41" s="4">
        <f t="shared" si="18"/>
        <v>24</v>
      </c>
      <c r="AE41" s="4">
        <f t="shared" si="19"/>
        <v>24</v>
      </c>
      <c r="AF41" s="9">
        <f t="shared" si="20"/>
        <v>25</v>
      </c>
      <c r="AG41" s="9">
        <f t="shared" si="21"/>
        <v>12.96</v>
      </c>
      <c r="AH41" s="9">
        <f t="shared" si="22"/>
        <v>23.04</v>
      </c>
      <c r="AI41" s="9">
        <f t="shared" si="23"/>
        <v>23.04</v>
      </c>
    </row>
    <row r="42" spans="1:35" ht="20" customHeight="1">
      <c r="A42" s="8">
        <v>41</v>
      </c>
      <c r="B42" s="3" t="s">
        <v>31</v>
      </c>
      <c r="C42" s="3" t="s">
        <v>66</v>
      </c>
      <c r="D42" s="4">
        <v>3</v>
      </c>
      <c r="E42" s="4">
        <v>3</v>
      </c>
      <c r="F42" s="4">
        <v>3</v>
      </c>
      <c r="G42" s="4">
        <v>3</v>
      </c>
      <c r="H42" s="4">
        <v>3</v>
      </c>
      <c r="I42" s="4">
        <v>5</v>
      </c>
      <c r="J42" s="4">
        <v>4</v>
      </c>
      <c r="K42" s="4">
        <v>5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5</v>
      </c>
      <c r="S42" s="4">
        <v>4</v>
      </c>
      <c r="T42" s="4">
        <v>5</v>
      </c>
      <c r="U42" s="4">
        <v>4</v>
      </c>
      <c r="V42" s="4">
        <v>4</v>
      </c>
      <c r="W42" s="4">
        <v>3</v>
      </c>
      <c r="X42" s="5">
        <f t="shared" si="12"/>
        <v>3</v>
      </c>
      <c r="Y42" s="5">
        <f t="shared" si="13"/>
        <v>4.4000000000000004</v>
      </c>
      <c r="Z42" s="5">
        <f t="shared" si="14"/>
        <v>4.2</v>
      </c>
      <c r="AA42" s="5">
        <f t="shared" si="15"/>
        <v>4</v>
      </c>
      <c r="AB42" s="4">
        <f t="shared" si="16"/>
        <v>15</v>
      </c>
      <c r="AC42" s="4">
        <f t="shared" si="17"/>
        <v>22</v>
      </c>
      <c r="AD42" s="4">
        <f t="shared" si="18"/>
        <v>21</v>
      </c>
      <c r="AE42" s="4">
        <f t="shared" si="19"/>
        <v>20</v>
      </c>
      <c r="AF42" s="9">
        <f t="shared" si="20"/>
        <v>9</v>
      </c>
      <c r="AG42" s="9">
        <f t="shared" si="21"/>
        <v>19.360000000000003</v>
      </c>
      <c r="AH42" s="9">
        <f t="shared" si="22"/>
        <v>17.64</v>
      </c>
      <c r="AI42" s="9">
        <f t="shared" si="23"/>
        <v>16</v>
      </c>
    </row>
    <row r="43" spans="1:35" ht="20" customHeight="1">
      <c r="A43" s="8">
        <v>42</v>
      </c>
      <c r="B43" s="3" t="s">
        <v>31</v>
      </c>
      <c r="C43" s="3" t="s">
        <v>67</v>
      </c>
      <c r="D43" s="4">
        <v>5</v>
      </c>
      <c r="E43" s="4">
        <v>5</v>
      </c>
      <c r="F43" s="4">
        <v>5</v>
      </c>
      <c r="G43" s="4">
        <v>5</v>
      </c>
      <c r="H43" s="4">
        <v>4</v>
      </c>
      <c r="I43" s="4">
        <v>1</v>
      </c>
      <c r="J43" s="4">
        <v>2</v>
      </c>
      <c r="K43" s="4">
        <v>2</v>
      </c>
      <c r="L43" s="4">
        <v>1</v>
      </c>
      <c r="M43" s="4">
        <v>1</v>
      </c>
      <c r="N43" s="4">
        <v>2</v>
      </c>
      <c r="O43" s="4">
        <v>2</v>
      </c>
      <c r="P43" s="4">
        <v>2</v>
      </c>
      <c r="Q43" s="4">
        <v>2</v>
      </c>
      <c r="R43" s="4">
        <v>3</v>
      </c>
      <c r="S43" s="4">
        <v>5</v>
      </c>
      <c r="T43" s="4">
        <v>4</v>
      </c>
      <c r="U43" s="4">
        <v>5</v>
      </c>
      <c r="V43" s="4">
        <v>5</v>
      </c>
      <c r="W43" s="4">
        <v>5</v>
      </c>
      <c r="X43" s="5">
        <f t="shared" si="12"/>
        <v>4.8</v>
      </c>
      <c r="Y43" s="5">
        <f t="shared" si="13"/>
        <v>1.4</v>
      </c>
      <c r="Z43" s="5">
        <f t="shared" si="14"/>
        <v>2.2000000000000002</v>
      </c>
      <c r="AA43" s="5">
        <f t="shared" si="15"/>
        <v>4.8</v>
      </c>
      <c r="AB43" s="4">
        <f t="shared" si="16"/>
        <v>24</v>
      </c>
      <c r="AC43" s="4">
        <f t="shared" si="17"/>
        <v>7</v>
      </c>
      <c r="AD43" s="4">
        <f t="shared" si="18"/>
        <v>11</v>
      </c>
      <c r="AE43" s="4">
        <f t="shared" si="19"/>
        <v>24</v>
      </c>
      <c r="AF43" s="9">
        <f t="shared" si="20"/>
        <v>23.04</v>
      </c>
      <c r="AG43" s="9">
        <f t="shared" si="21"/>
        <v>1.9599999999999997</v>
      </c>
      <c r="AH43" s="9">
        <f t="shared" si="22"/>
        <v>4.8400000000000007</v>
      </c>
      <c r="AI43" s="9">
        <f t="shared" si="23"/>
        <v>23.04</v>
      </c>
    </row>
    <row r="44" spans="1:35" ht="20" customHeight="1">
      <c r="A44" s="8">
        <v>43</v>
      </c>
      <c r="B44" s="3" t="s">
        <v>31</v>
      </c>
      <c r="C44" s="3" t="s">
        <v>67</v>
      </c>
      <c r="D44" s="4">
        <v>3</v>
      </c>
      <c r="E44" s="4">
        <v>2</v>
      </c>
      <c r="F44" s="4">
        <v>3</v>
      </c>
      <c r="G44" s="4">
        <v>2</v>
      </c>
      <c r="H44" s="4">
        <v>3</v>
      </c>
      <c r="I44" s="4">
        <v>5</v>
      </c>
      <c r="J44" s="4">
        <v>4</v>
      </c>
      <c r="K44" s="4">
        <v>3</v>
      </c>
      <c r="L44" s="4">
        <v>5</v>
      </c>
      <c r="M44" s="4">
        <v>4</v>
      </c>
      <c r="N44" s="4">
        <v>3</v>
      </c>
      <c r="O44" s="4">
        <v>2</v>
      </c>
      <c r="P44" s="4">
        <v>3</v>
      </c>
      <c r="Q44" s="4">
        <v>2</v>
      </c>
      <c r="R44" s="4">
        <v>2</v>
      </c>
      <c r="S44" s="4">
        <v>3</v>
      </c>
      <c r="T44" s="4">
        <v>3</v>
      </c>
      <c r="U44" s="4">
        <v>4</v>
      </c>
      <c r="V44" s="4">
        <v>3</v>
      </c>
      <c r="W44" s="4">
        <v>3</v>
      </c>
      <c r="X44" s="5">
        <f t="shared" si="12"/>
        <v>2.6</v>
      </c>
      <c r="Y44" s="5">
        <f t="shared" si="13"/>
        <v>4.2</v>
      </c>
      <c r="Z44" s="5">
        <f t="shared" si="14"/>
        <v>2.4</v>
      </c>
      <c r="AA44" s="5">
        <f t="shared" si="15"/>
        <v>3.2</v>
      </c>
      <c r="AB44" s="4">
        <f t="shared" si="16"/>
        <v>13</v>
      </c>
      <c r="AC44" s="4">
        <f t="shared" si="17"/>
        <v>21</v>
      </c>
      <c r="AD44" s="4">
        <f t="shared" si="18"/>
        <v>12</v>
      </c>
      <c r="AE44" s="4">
        <f t="shared" si="19"/>
        <v>16</v>
      </c>
      <c r="AF44" s="9">
        <f t="shared" si="20"/>
        <v>6.7600000000000007</v>
      </c>
      <c r="AG44" s="9">
        <f t="shared" si="21"/>
        <v>17.64</v>
      </c>
      <c r="AH44" s="9">
        <f t="shared" si="22"/>
        <v>5.76</v>
      </c>
      <c r="AI44" s="9">
        <f t="shared" si="23"/>
        <v>10.240000000000002</v>
      </c>
    </row>
    <row r="45" spans="1:35" ht="20" customHeight="1">
      <c r="A45" s="8">
        <v>44</v>
      </c>
      <c r="B45" s="3" t="s">
        <v>27</v>
      </c>
      <c r="C45" s="3" t="s">
        <v>66</v>
      </c>
      <c r="D45" s="4">
        <v>4</v>
      </c>
      <c r="E45" s="4">
        <v>4</v>
      </c>
      <c r="F45" s="4">
        <v>4</v>
      </c>
      <c r="G45" s="4">
        <v>4</v>
      </c>
      <c r="H45" s="4">
        <v>3</v>
      </c>
      <c r="I45" s="4">
        <v>4</v>
      </c>
      <c r="J45" s="4">
        <v>4</v>
      </c>
      <c r="K45" s="4">
        <v>4</v>
      </c>
      <c r="L45" s="4">
        <v>4</v>
      </c>
      <c r="M45" s="4">
        <v>5</v>
      </c>
      <c r="N45" s="4">
        <v>4</v>
      </c>
      <c r="O45" s="4">
        <v>4</v>
      </c>
      <c r="P45" s="4">
        <v>4</v>
      </c>
      <c r="Q45" s="4">
        <v>4</v>
      </c>
      <c r="R45" s="4">
        <v>3</v>
      </c>
      <c r="S45" s="4">
        <v>4</v>
      </c>
      <c r="T45" s="4">
        <v>4</v>
      </c>
      <c r="U45" s="4">
        <v>2</v>
      </c>
      <c r="V45" s="4">
        <v>3</v>
      </c>
      <c r="W45" s="4">
        <v>3</v>
      </c>
      <c r="X45" s="5">
        <f t="shared" si="12"/>
        <v>3.8</v>
      </c>
      <c r="Y45" s="5">
        <f t="shared" si="13"/>
        <v>4.2</v>
      </c>
      <c r="Z45" s="5">
        <f t="shared" si="14"/>
        <v>3.8</v>
      </c>
      <c r="AA45" s="5">
        <f t="shared" si="15"/>
        <v>3.2</v>
      </c>
      <c r="AB45" s="4">
        <f t="shared" si="16"/>
        <v>19</v>
      </c>
      <c r="AC45" s="4">
        <f t="shared" si="17"/>
        <v>21</v>
      </c>
      <c r="AD45" s="4">
        <f t="shared" si="18"/>
        <v>19</v>
      </c>
      <c r="AE45" s="4">
        <f t="shared" si="19"/>
        <v>16</v>
      </c>
      <c r="AF45" s="9">
        <f t="shared" si="20"/>
        <v>14.44</v>
      </c>
      <c r="AG45" s="9">
        <f t="shared" si="21"/>
        <v>17.64</v>
      </c>
      <c r="AH45" s="9">
        <f t="shared" si="22"/>
        <v>14.44</v>
      </c>
      <c r="AI45" s="9">
        <f t="shared" si="23"/>
        <v>10.240000000000002</v>
      </c>
    </row>
    <row r="46" spans="1:35" ht="20" customHeight="1">
      <c r="A46" s="8">
        <v>45</v>
      </c>
      <c r="B46" s="3" t="s">
        <v>31</v>
      </c>
      <c r="C46" s="3" t="s">
        <v>68</v>
      </c>
      <c r="D46" s="4">
        <v>3</v>
      </c>
      <c r="E46" s="4">
        <v>4</v>
      </c>
      <c r="F46" s="4">
        <v>4</v>
      </c>
      <c r="G46" s="4">
        <v>4</v>
      </c>
      <c r="H46" s="4">
        <v>4</v>
      </c>
      <c r="I46" s="4">
        <v>3</v>
      </c>
      <c r="J46" s="4">
        <v>3</v>
      </c>
      <c r="K46" s="4">
        <v>2</v>
      </c>
      <c r="L46" s="4">
        <v>3</v>
      </c>
      <c r="M46" s="4">
        <v>2</v>
      </c>
      <c r="N46" s="4">
        <v>4</v>
      </c>
      <c r="O46" s="4">
        <v>4</v>
      </c>
      <c r="P46" s="4">
        <v>3</v>
      </c>
      <c r="Q46" s="4">
        <v>3</v>
      </c>
      <c r="R46" s="4">
        <v>4</v>
      </c>
      <c r="S46" s="4">
        <v>3</v>
      </c>
      <c r="T46" s="4">
        <v>4</v>
      </c>
      <c r="U46" s="4">
        <v>3</v>
      </c>
      <c r="V46" s="4">
        <v>3</v>
      </c>
      <c r="W46" s="4">
        <v>2</v>
      </c>
      <c r="X46" s="5">
        <f t="shared" si="12"/>
        <v>3.8</v>
      </c>
      <c r="Y46" s="5">
        <f t="shared" si="13"/>
        <v>2.6</v>
      </c>
      <c r="Z46" s="5">
        <f t="shared" si="14"/>
        <v>3.6</v>
      </c>
      <c r="AA46" s="5">
        <f t="shared" si="15"/>
        <v>3</v>
      </c>
      <c r="AB46" s="4">
        <f t="shared" si="16"/>
        <v>19</v>
      </c>
      <c r="AC46" s="4">
        <f t="shared" si="17"/>
        <v>13</v>
      </c>
      <c r="AD46" s="4">
        <f t="shared" si="18"/>
        <v>18</v>
      </c>
      <c r="AE46" s="4">
        <f t="shared" si="19"/>
        <v>15</v>
      </c>
      <c r="AF46" s="9">
        <f t="shared" si="20"/>
        <v>14.44</v>
      </c>
      <c r="AG46" s="9">
        <f t="shared" si="21"/>
        <v>6.7600000000000007</v>
      </c>
      <c r="AH46" s="9">
        <f t="shared" si="22"/>
        <v>12.96</v>
      </c>
      <c r="AI46" s="9">
        <f t="shared" si="23"/>
        <v>9</v>
      </c>
    </row>
    <row r="47" spans="1:35" ht="20" customHeight="1">
      <c r="A47" s="8">
        <v>46</v>
      </c>
      <c r="B47" s="3" t="s">
        <v>29</v>
      </c>
      <c r="C47" s="3" t="s">
        <v>66</v>
      </c>
      <c r="D47" s="4">
        <v>4</v>
      </c>
      <c r="E47" s="4">
        <v>4</v>
      </c>
      <c r="F47" s="4">
        <v>4</v>
      </c>
      <c r="G47" s="4">
        <v>3</v>
      </c>
      <c r="H47" s="4">
        <v>4</v>
      </c>
      <c r="I47" s="4">
        <v>4</v>
      </c>
      <c r="J47" s="4">
        <v>3</v>
      </c>
      <c r="K47" s="4">
        <v>4</v>
      </c>
      <c r="L47" s="4">
        <v>3</v>
      </c>
      <c r="M47" s="4">
        <v>4</v>
      </c>
      <c r="N47" s="4">
        <v>5</v>
      </c>
      <c r="O47" s="4">
        <v>5</v>
      </c>
      <c r="P47" s="4">
        <v>5</v>
      </c>
      <c r="Q47" s="4">
        <v>5</v>
      </c>
      <c r="R47" s="4">
        <v>5</v>
      </c>
      <c r="S47" s="4">
        <v>3</v>
      </c>
      <c r="T47" s="4">
        <v>4</v>
      </c>
      <c r="U47" s="4">
        <v>3</v>
      </c>
      <c r="V47" s="4">
        <v>3</v>
      </c>
      <c r="W47" s="4">
        <v>3</v>
      </c>
      <c r="X47" s="5">
        <f t="shared" si="12"/>
        <v>3.8</v>
      </c>
      <c r="Y47" s="5">
        <f t="shared" si="13"/>
        <v>3.6</v>
      </c>
      <c r="Z47" s="5">
        <f t="shared" si="14"/>
        <v>5</v>
      </c>
      <c r="AA47" s="5">
        <f t="shared" si="15"/>
        <v>3.2</v>
      </c>
      <c r="AB47" s="4">
        <f t="shared" si="16"/>
        <v>19</v>
      </c>
      <c r="AC47" s="4">
        <f t="shared" si="17"/>
        <v>18</v>
      </c>
      <c r="AD47" s="4">
        <f t="shared" si="18"/>
        <v>25</v>
      </c>
      <c r="AE47" s="4">
        <f t="shared" si="19"/>
        <v>16</v>
      </c>
      <c r="AF47" s="9">
        <f t="shared" si="20"/>
        <v>14.44</v>
      </c>
      <c r="AG47" s="9">
        <f t="shared" si="21"/>
        <v>12.96</v>
      </c>
      <c r="AH47" s="9">
        <f t="shared" si="22"/>
        <v>25</v>
      </c>
      <c r="AI47" s="9">
        <f t="shared" si="23"/>
        <v>10.240000000000002</v>
      </c>
    </row>
    <row r="48" spans="1:35" ht="20" customHeight="1">
      <c r="A48" s="8">
        <v>47</v>
      </c>
      <c r="B48" s="3" t="s">
        <v>34</v>
      </c>
      <c r="C48" s="3" t="s">
        <v>67</v>
      </c>
      <c r="D48" s="4">
        <v>3</v>
      </c>
      <c r="E48" s="4">
        <v>3</v>
      </c>
      <c r="F48" s="4">
        <v>4</v>
      </c>
      <c r="G48" s="4">
        <v>3</v>
      </c>
      <c r="H48" s="4">
        <v>3</v>
      </c>
      <c r="I48" s="4">
        <v>4</v>
      </c>
      <c r="J48" s="4">
        <v>5</v>
      </c>
      <c r="K48" s="4">
        <v>5</v>
      </c>
      <c r="L48" s="4">
        <v>4</v>
      </c>
      <c r="M48" s="4">
        <v>5</v>
      </c>
      <c r="N48" s="4">
        <v>4</v>
      </c>
      <c r="O48" s="4">
        <v>4</v>
      </c>
      <c r="P48" s="4">
        <v>4</v>
      </c>
      <c r="Q48" s="4">
        <v>3</v>
      </c>
      <c r="R48" s="4">
        <v>4</v>
      </c>
      <c r="S48" s="4">
        <v>3</v>
      </c>
      <c r="T48" s="4">
        <v>3</v>
      </c>
      <c r="U48" s="4">
        <v>2</v>
      </c>
      <c r="V48" s="4">
        <v>1</v>
      </c>
      <c r="W48" s="4">
        <v>2</v>
      </c>
      <c r="X48" s="5">
        <f t="shared" si="12"/>
        <v>3.2</v>
      </c>
      <c r="Y48" s="5">
        <f t="shared" si="13"/>
        <v>4.5999999999999996</v>
      </c>
      <c r="Z48" s="5">
        <f t="shared" si="14"/>
        <v>3.8</v>
      </c>
      <c r="AA48" s="5">
        <f t="shared" si="15"/>
        <v>2.2000000000000002</v>
      </c>
      <c r="AB48" s="4">
        <f t="shared" si="16"/>
        <v>16</v>
      </c>
      <c r="AC48" s="4">
        <f t="shared" si="17"/>
        <v>23</v>
      </c>
      <c r="AD48" s="4">
        <f t="shared" si="18"/>
        <v>19</v>
      </c>
      <c r="AE48" s="4">
        <f t="shared" si="19"/>
        <v>11</v>
      </c>
      <c r="AF48" s="9">
        <f t="shared" si="20"/>
        <v>10.240000000000002</v>
      </c>
      <c r="AG48" s="9">
        <f t="shared" si="21"/>
        <v>21.159999999999997</v>
      </c>
      <c r="AH48" s="9">
        <f t="shared" si="22"/>
        <v>14.44</v>
      </c>
      <c r="AI48" s="9">
        <f t="shared" si="23"/>
        <v>4.8400000000000007</v>
      </c>
    </row>
    <row r="49" spans="1:35" ht="20" customHeight="1">
      <c r="A49" s="8">
        <v>48</v>
      </c>
      <c r="B49" s="3" t="s">
        <v>34</v>
      </c>
      <c r="C49" s="3" t="s">
        <v>67</v>
      </c>
      <c r="D49" s="4">
        <v>3</v>
      </c>
      <c r="E49" s="4">
        <v>3</v>
      </c>
      <c r="F49" s="4">
        <v>3</v>
      </c>
      <c r="G49" s="4">
        <v>3</v>
      </c>
      <c r="H49" s="4">
        <v>3</v>
      </c>
      <c r="I49" s="4">
        <v>3</v>
      </c>
      <c r="J49" s="4">
        <v>3</v>
      </c>
      <c r="K49" s="4">
        <v>2</v>
      </c>
      <c r="L49" s="4">
        <v>2</v>
      </c>
      <c r="M49" s="4">
        <v>4</v>
      </c>
      <c r="N49" s="4">
        <v>3</v>
      </c>
      <c r="O49" s="4">
        <v>4</v>
      </c>
      <c r="P49" s="4">
        <v>3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3</v>
      </c>
      <c r="W49" s="4">
        <v>3</v>
      </c>
      <c r="X49" s="5">
        <f t="shared" si="12"/>
        <v>3</v>
      </c>
      <c r="Y49" s="5">
        <f t="shared" si="13"/>
        <v>2.8</v>
      </c>
      <c r="Z49" s="5">
        <f t="shared" si="14"/>
        <v>3.6</v>
      </c>
      <c r="AA49" s="5">
        <f t="shared" si="15"/>
        <v>3.6</v>
      </c>
      <c r="AB49" s="4">
        <f t="shared" si="16"/>
        <v>15</v>
      </c>
      <c r="AC49" s="4">
        <f t="shared" si="17"/>
        <v>14</v>
      </c>
      <c r="AD49" s="4">
        <f t="shared" si="18"/>
        <v>18</v>
      </c>
      <c r="AE49" s="4">
        <f t="shared" si="19"/>
        <v>18</v>
      </c>
      <c r="AF49" s="9">
        <f t="shared" si="20"/>
        <v>9</v>
      </c>
      <c r="AG49" s="9">
        <f t="shared" si="21"/>
        <v>7.839999999999999</v>
      </c>
      <c r="AH49" s="9">
        <f t="shared" si="22"/>
        <v>12.96</v>
      </c>
      <c r="AI49" s="9">
        <f t="shared" si="23"/>
        <v>12.96</v>
      </c>
    </row>
    <row r="50" spans="1:35" ht="20" customHeight="1">
      <c r="A50" s="8">
        <v>49</v>
      </c>
      <c r="B50" s="3" t="s">
        <v>27</v>
      </c>
      <c r="C50" s="3" t="s">
        <v>67</v>
      </c>
      <c r="D50" s="4">
        <v>5</v>
      </c>
      <c r="E50" s="4">
        <v>5</v>
      </c>
      <c r="F50" s="4">
        <v>5</v>
      </c>
      <c r="G50" s="4">
        <v>4</v>
      </c>
      <c r="H50" s="4">
        <v>5</v>
      </c>
      <c r="I50" s="4">
        <v>4</v>
      </c>
      <c r="J50" s="4">
        <v>4</v>
      </c>
      <c r="K50" s="4">
        <v>5</v>
      </c>
      <c r="L50" s="4">
        <v>3</v>
      </c>
      <c r="M50" s="4">
        <v>4</v>
      </c>
      <c r="N50" s="4">
        <v>2</v>
      </c>
      <c r="O50" s="4">
        <v>1</v>
      </c>
      <c r="P50" s="4">
        <v>2</v>
      </c>
      <c r="Q50" s="4">
        <v>2</v>
      </c>
      <c r="R50" s="4">
        <v>2</v>
      </c>
      <c r="S50" s="4">
        <v>3</v>
      </c>
      <c r="T50" s="4">
        <v>3</v>
      </c>
      <c r="U50" s="4">
        <v>4</v>
      </c>
      <c r="V50" s="4">
        <v>3</v>
      </c>
      <c r="W50" s="4">
        <v>3</v>
      </c>
      <c r="X50" s="5">
        <f t="shared" si="12"/>
        <v>4.8</v>
      </c>
      <c r="Y50" s="5">
        <f t="shared" si="13"/>
        <v>4</v>
      </c>
      <c r="Z50" s="5">
        <f t="shared" si="14"/>
        <v>1.8</v>
      </c>
      <c r="AA50" s="5">
        <f t="shared" si="15"/>
        <v>3.2</v>
      </c>
      <c r="AB50" s="4">
        <f t="shared" si="16"/>
        <v>24</v>
      </c>
      <c r="AC50" s="4">
        <f t="shared" si="17"/>
        <v>20</v>
      </c>
      <c r="AD50" s="4">
        <f t="shared" si="18"/>
        <v>9</v>
      </c>
      <c r="AE50" s="4">
        <f t="shared" si="19"/>
        <v>16</v>
      </c>
      <c r="AF50" s="9">
        <f t="shared" si="20"/>
        <v>23.04</v>
      </c>
      <c r="AG50" s="9">
        <f t="shared" si="21"/>
        <v>16</v>
      </c>
      <c r="AH50" s="9">
        <f t="shared" si="22"/>
        <v>3.24</v>
      </c>
      <c r="AI50" s="9">
        <f t="shared" si="23"/>
        <v>10.240000000000002</v>
      </c>
    </row>
    <row r="51" spans="1:35" ht="20" customHeight="1">
      <c r="A51" s="8">
        <v>50</v>
      </c>
      <c r="B51" s="3" t="s">
        <v>29</v>
      </c>
      <c r="C51" s="3" t="s">
        <v>66</v>
      </c>
      <c r="D51" s="4">
        <v>3</v>
      </c>
      <c r="E51" s="4">
        <v>3</v>
      </c>
      <c r="F51" s="4">
        <v>3</v>
      </c>
      <c r="G51" s="4">
        <v>3</v>
      </c>
      <c r="H51" s="4">
        <v>3</v>
      </c>
      <c r="I51" s="4">
        <v>5</v>
      </c>
      <c r="J51" s="4">
        <v>4</v>
      </c>
      <c r="K51" s="4">
        <v>5</v>
      </c>
      <c r="L51" s="4">
        <v>4</v>
      </c>
      <c r="M51" s="4">
        <v>5</v>
      </c>
      <c r="N51" s="4">
        <v>2</v>
      </c>
      <c r="O51" s="4">
        <v>3</v>
      </c>
      <c r="P51" s="4">
        <v>2</v>
      </c>
      <c r="Q51" s="4">
        <v>3</v>
      </c>
      <c r="R51" s="4">
        <v>4</v>
      </c>
      <c r="S51" s="4">
        <v>4</v>
      </c>
      <c r="T51" s="4">
        <v>3</v>
      </c>
      <c r="U51" s="4">
        <v>3</v>
      </c>
      <c r="V51" s="4">
        <v>4</v>
      </c>
      <c r="W51" s="4">
        <v>4</v>
      </c>
      <c r="X51" s="5">
        <f t="shared" si="12"/>
        <v>3</v>
      </c>
      <c r="Y51" s="5">
        <f t="shared" si="13"/>
        <v>4.5999999999999996</v>
      </c>
      <c r="Z51" s="5">
        <f t="shared" si="14"/>
        <v>2.8</v>
      </c>
      <c r="AA51" s="5">
        <f t="shared" si="15"/>
        <v>3.6</v>
      </c>
      <c r="AB51" s="4">
        <f t="shared" si="16"/>
        <v>15</v>
      </c>
      <c r="AC51" s="4">
        <f t="shared" si="17"/>
        <v>23</v>
      </c>
      <c r="AD51" s="4">
        <f t="shared" si="18"/>
        <v>14</v>
      </c>
      <c r="AE51" s="4">
        <f t="shared" si="19"/>
        <v>18</v>
      </c>
      <c r="AF51" s="9">
        <f t="shared" si="20"/>
        <v>9</v>
      </c>
      <c r="AG51" s="9">
        <f t="shared" si="21"/>
        <v>21.159999999999997</v>
      </c>
      <c r="AH51" s="9">
        <f t="shared" si="22"/>
        <v>7.839999999999999</v>
      </c>
      <c r="AI51" s="9">
        <f t="shared" si="23"/>
        <v>12.96</v>
      </c>
    </row>
    <row r="52" spans="1:35" ht="20" customHeight="1">
      <c r="A52" s="8">
        <v>51</v>
      </c>
      <c r="B52" s="3" t="s">
        <v>31</v>
      </c>
      <c r="C52" s="3" t="s">
        <v>66</v>
      </c>
      <c r="D52" s="4">
        <v>5</v>
      </c>
      <c r="E52" s="4">
        <v>5</v>
      </c>
      <c r="F52" s="4">
        <v>5</v>
      </c>
      <c r="G52" s="4">
        <v>5</v>
      </c>
      <c r="H52" s="4">
        <v>5</v>
      </c>
      <c r="I52" s="4">
        <v>3</v>
      </c>
      <c r="J52" s="4">
        <v>5</v>
      </c>
      <c r="K52" s="4">
        <v>4</v>
      </c>
      <c r="L52" s="4">
        <v>4</v>
      </c>
      <c r="M52" s="4">
        <v>5</v>
      </c>
      <c r="N52" s="4">
        <v>3</v>
      </c>
      <c r="O52" s="4">
        <v>4</v>
      </c>
      <c r="P52" s="4">
        <v>3</v>
      </c>
      <c r="Q52" s="4">
        <v>3</v>
      </c>
      <c r="R52" s="4">
        <v>4</v>
      </c>
      <c r="S52" s="4">
        <v>4</v>
      </c>
      <c r="T52" s="4">
        <v>3</v>
      </c>
      <c r="U52" s="4">
        <v>4</v>
      </c>
      <c r="V52" s="4">
        <v>4</v>
      </c>
      <c r="W52" s="4">
        <v>5</v>
      </c>
      <c r="X52" s="5">
        <f t="shared" si="12"/>
        <v>5</v>
      </c>
      <c r="Y52" s="5">
        <f t="shared" si="13"/>
        <v>4.2</v>
      </c>
      <c r="Z52" s="5">
        <f t="shared" si="14"/>
        <v>3.4</v>
      </c>
      <c r="AA52" s="5">
        <f t="shared" si="15"/>
        <v>4</v>
      </c>
      <c r="AB52" s="4">
        <f t="shared" si="16"/>
        <v>25</v>
      </c>
      <c r="AC52" s="4">
        <f t="shared" si="17"/>
        <v>21</v>
      </c>
      <c r="AD52" s="4">
        <f t="shared" si="18"/>
        <v>17</v>
      </c>
      <c r="AE52" s="4">
        <f t="shared" si="19"/>
        <v>20</v>
      </c>
      <c r="AF52" s="9">
        <f t="shared" si="20"/>
        <v>25</v>
      </c>
      <c r="AG52" s="9">
        <f t="shared" si="21"/>
        <v>17.64</v>
      </c>
      <c r="AH52" s="9">
        <f t="shared" si="22"/>
        <v>11.559999999999999</v>
      </c>
      <c r="AI52" s="9">
        <f t="shared" si="23"/>
        <v>16</v>
      </c>
    </row>
    <row r="53" spans="1:35" ht="20" customHeight="1">
      <c r="A53" s="8">
        <v>52</v>
      </c>
      <c r="B53" s="3" t="s">
        <v>31</v>
      </c>
      <c r="C53" s="3" t="s">
        <v>68</v>
      </c>
      <c r="D53" s="4">
        <v>3</v>
      </c>
      <c r="E53" s="4">
        <v>3</v>
      </c>
      <c r="F53" s="4">
        <v>3</v>
      </c>
      <c r="G53" s="4">
        <v>4</v>
      </c>
      <c r="H53" s="4">
        <v>3</v>
      </c>
      <c r="I53" s="4">
        <v>4</v>
      </c>
      <c r="J53" s="4">
        <v>3</v>
      </c>
      <c r="K53" s="4">
        <v>4</v>
      </c>
      <c r="L53" s="4">
        <v>4</v>
      </c>
      <c r="M53" s="4">
        <v>4</v>
      </c>
      <c r="N53" s="4">
        <v>5</v>
      </c>
      <c r="O53" s="4">
        <v>5</v>
      </c>
      <c r="P53" s="4">
        <v>5</v>
      </c>
      <c r="Q53" s="4">
        <v>5</v>
      </c>
      <c r="R53" s="4">
        <v>5</v>
      </c>
      <c r="S53" s="4">
        <v>4</v>
      </c>
      <c r="T53" s="4">
        <v>4</v>
      </c>
      <c r="U53" s="4">
        <v>3</v>
      </c>
      <c r="V53" s="4">
        <v>4</v>
      </c>
      <c r="W53" s="4">
        <v>4</v>
      </c>
      <c r="X53" s="5">
        <f t="shared" si="12"/>
        <v>3.2</v>
      </c>
      <c r="Y53" s="5">
        <f t="shared" si="13"/>
        <v>3.8</v>
      </c>
      <c r="Z53" s="5">
        <f t="shared" si="14"/>
        <v>5</v>
      </c>
      <c r="AA53" s="5">
        <f t="shared" si="15"/>
        <v>3.8</v>
      </c>
      <c r="AB53" s="4">
        <f t="shared" si="16"/>
        <v>16</v>
      </c>
      <c r="AC53" s="4">
        <f t="shared" si="17"/>
        <v>19</v>
      </c>
      <c r="AD53" s="4">
        <f t="shared" si="18"/>
        <v>25</v>
      </c>
      <c r="AE53" s="4">
        <f t="shared" si="19"/>
        <v>19</v>
      </c>
      <c r="AF53" s="9">
        <f t="shared" si="20"/>
        <v>10.240000000000002</v>
      </c>
      <c r="AG53" s="9">
        <f t="shared" si="21"/>
        <v>14.44</v>
      </c>
      <c r="AH53" s="9">
        <f t="shared" si="22"/>
        <v>25</v>
      </c>
      <c r="AI53" s="9">
        <f t="shared" si="23"/>
        <v>14.44</v>
      </c>
    </row>
    <row r="54" spans="1:35" ht="20" customHeight="1">
      <c r="A54" s="8">
        <v>53</v>
      </c>
      <c r="B54" s="3" t="s">
        <v>31</v>
      </c>
      <c r="C54" s="3" t="s">
        <v>68</v>
      </c>
      <c r="D54" s="4">
        <v>5</v>
      </c>
      <c r="E54" s="4">
        <v>5</v>
      </c>
      <c r="F54" s="4">
        <v>5</v>
      </c>
      <c r="G54" s="4">
        <v>5</v>
      </c>
      <c r="H54" s="4">
        <v>5</v>
      </c>
      <c r="I54" s="4">
        <v>5</v>
      </c>
      <c r="J54" s="4">
        <v>4</v>
      </c>
      <c r="K54" s="4">
        <v>4</v>
      </c>
      <c r="L54" s="4">
        <v>4</v>
      </c>
      <c r="M54" s="4">
        <v>5</v>
      </c>
      <c r="N54" s="4">
        <v>3</v>
      </c>
      <c r="O54" s="4">
        <v>3</v>
      </c>
      <c r="P54" s="4">
        <v>3</v>
      </c>
      <c r="Q54" s="4">
        <v>4</v>
      </c>
      <c r="R54" s="4">
        <v>3</v>
      </c>
      <c r="S54" s="4">
        <v>3</v>
      </c>
      <c r="T54" s="4">
        <v>3</v>
      </c>
      <c r="U54" s="4">
        <v>4</v>
      </c>
      <c r="V54" s="4">
        <v>4</v>
      </c>
      <c r="W54" s="4">
        <v>4</v>
      </c>
      <c r="X54" s="5">
        <f t="shared" si="12"/>
        <v>5</v>
      </c>
      <c r="Y54" s="5">
        <f t="shared" si="13"/>
        <v>4.4000000000000004</v>
      </c>
      <c r="Z54" s="5">
        <f t="shared" si="14"/>
        <v>3.2</v>
      </c>
      <c r="AA54" s="5">
        <f t="shared" si="15"/>
        <v>3.6</v>
      </c>
      <c r="AB54" s="4">
        <f t="shared" si="16"/>
        <v>25</v>
      </c>
      <c r="AC54" s="4">
        <f t="shared" si="17"/>
        <v>22</v>
      </c>
      <c r="AD54" s="4">
        <f t="shared" si="18"/>
        <v>16</v>
      </c>
      <c r="AE54" s="4">
        <f t="shared" si="19"/>
        <v>18</v>
      </c>
      <c r="AF54" s="9">
        <f t="shared" si="20"/>
        <v>25</v>
      </c>
      <c r="AG54" s="9">
        <f t="shared" si="21"/>
        <v>19.360000000000003</v>
      </c>
      <c r="AH54" s="9">
        <f t="shared" si="22"/>
        <v>10.240000000000002</v>
      </c>
      <c r="AI54" s="9">
        <f t="shared" si="23"/>
        <v>12.96</v>
      </c>
    </row>
    <row r="55" spans="1:35" ht="20" customHeight="1">
      <c r="A55" s="8">
        <v>54</v>
      </c>
      <c r="B55" s="3" t="s">
        <v>34</v>
      </c>
      <c r="C55" s="3" t="s">
        <v>67</v>
      </c>
      <c r="D55" s="4">
        <v>5</v>
      </c>
      <c r="E55" s="4">
        <v>5</v>
      </c>
      <c r="F55" s="4">
        <v>5</v>
      </c>
      <c r="G55" s="4">
        <v>5</v>
      </c>
      <c r="H55" s="4">
        <v>5</v>
      </c>
      <c r="I55" s="4">
        <v>4</v>
      </c>
      <c r="J55" s="4">
        <v>5</v>
      </c>
      <c r="K55" s="4">
        <v>4</v>
      </c>
      <c r="L55" s="4">
        <v>4</v>
      </c>
      <c r="M55" s="4">
        <v>5</v>
      </c>
      <c r="N55" s="4">
        <v>4</v>
      </c>
      <c r="O55" s="4">
        <v>4</v>
      </c>
      <c r="P55" s="4">
        <v>4</v>
      </c>
      <c r="Q55" s="4">
        <v>3</v>
      </c>
      <c r="R55" s="4">
        <v>4</v>
      </c>
      <c r="S55" s="4">
        <v>3</v>
      </c>
      <c r="T55" s="4">
        <v>5</v>
      </c>
      <c r="U55" s="4">
        <v>3</v>
      </c>
      <c r="V55" s="4">
        <v>4</v>
      </c>
      <c r="W55" s="4">
        <v>3</v>
      </c>
      <c r="X55" s="5">
        <f t="shared" si="12"/>
        <v>5</v>
      </c>
      <c r="Y55" s="5">
        <f t="shared" si="13"/>
        <v>4.4000000000000004</v>
      </c>
      <c r="Z55" s="5">
        <f t="shared" si="14"/>
        <v>3.8</v>
      </c>
      <c r="AA55" s="5">
        <f t="shared" si="15"/>
        <v>3.6</v>
      </c>
      <c r="AB55" s="4">
        <f t="shared" si="16"/>
        <v>25</v>
      </c>
      <c r="AC55" s="4">
        <f t="shared" si="17"/>
        <v>22</v>
      </c>
      <c r="AD55" s="4">
        <f t="shared" si="18"/>
        <v>19</v>
      </c>
      <c r="AE55" s="4">
        <f t="shared" si="19"/>
        <v>18</v>
      </c>
      <c r="AF55" s="9">
        <f t="shared" si="20"/>
        <v>25</v>
      </c>
      <c r="AG55" s="9">
        <f t="shared" si="21"/>
        <v>19.360000000000003</v>
      </c>
      <c r="AH55" s="9">
        <f t="shared" si="22"/>
        <v>14.44</v>
      </c>
      <c r="AI55" s="9">
        <f t="shared" si="23"/>
        <v>12.96</v>
      </c>
    </row>
    <row r="56" spans="1:35" ht="20" customHeight="1">
      <c r="A56" s="8">
        <v>55</v>
      </c>
      <c r="B56" s="3" t="s">
        <v>29</v>
      </c>
      <c r="C56" s="3" t="s">
        <v>66</v>
      </c>
      <c r="D56" s="4">
        <v>4</v>
      </c>
      <c r="E56" s="4">
        <v>4</v>
      </c>
      <c r="F56" s="4">
        <v>3</v>
      </c>
      <c r="G56" s="4">
        <v>3</v>
      </c>
      <c r="H56" s="4">
        <v>4</v>
      </c>
      <c r="I56" s="4">
        <v>4</v>
      </c>
      <c r="J56" s="4">
        <v>4</v>
      </c>
      <c r="K56" s="4">
        <v>3</v>
      </c>
      <c r="L56" s="4">
        <v>3</v>
      </c>
      <c r="M56" s="4">
        <v>4</v>
      </c>
      <c r="N56" s="4">
        <v>4</v>
      </c>
      <c r="O56" s="4">
        <v>4</v>
      </c>
      <c r="P56" s="4">
        <v>4</v>
      </c>
      <c r="Q56" s="4">
        <v>3</v>
      </c>
      <c r="R56" s="4">
        <v>4</v>
      </c>
      <c r="S56" s="4">
        <v>4</v>
      </c>
      <c r="T56" s="4">
        <v>4</v>
      </c>
      <c r="U56" s="4">
        <v>5</v>
      </c>
      <c r="V56" s="4">
        <v>5</v>
      </c>
      <c r="W56" s="4">
        <v>4</v>
      </c>
      <c r="X56" s="5">
        <f t="shared" si="12"/>
        <v>3.6</v>
      </c>
      <c r="Y56" s="5">
        <f t="shared" si="13"/>
        <v>3.6</v>
      </c>
      <c r="Z56" s="5">
        <f t="shared" si="14"/>
        <v>3.8</v>
      </c>
      <c r="AA56" s="5">
        <f t="shared" si="15"/>
        <v>4.4000000000000004</v>
      </c>
      <c r="AB56" s="4">
        <f t="shared" si="16"/>
        <v>18</v>
      </c>
      <c r="AC56" s="4">
        <f t="shared" si="17"/>
        <v>18</v>
      </c>
      <c r="AD56" s="4">
        <f t="shared" si="18"/>
        <v>19</v>
      </c>
      <c r="AE56" s="4">
        <f t="shared" si="19"/>
        <v>22</v>
      </c>
      <c r="AF56" s="9">
        <f t="shared" si="20"/>
        <v>12.96</v>
      </c>
      <c r="AG56" s="9">
        <f t="shared" si="21"/>
        <v>12.96</v>
      </c>
      <c r="AH56" s="9">
        <f t="shared" si="22"/>
        <v>14.44</v>
      </c>
      <c r="AI56" s="9">
        <f t="shared" si="23"/>
        <v>19.360000000000003</v>
      </c>
    </row>
    <row r="57" spans="1:35" ht="20" customHeight="1">
      <c r="A57" s="8">
        <v>56</v>
      </c>
      <c r="B57" s="3" t="s">
        <v>31</v>
      </c>
      <c r="C57" s="3" t="s">
        <v>68</v>
      </c>
      <c r="D57" s="4">
        <v>5</v>
      </c>
      <c r="E57" s="4">
        <v>5</v>
      </c>
      <c r="F57" s="4">
        <v>5</v>
      </c>
      <c r="G57" s="4">
        <v>5</v>
      </c>
      <c r="H57" s="4">
        <v>5</v>
      </c>
      <c r="I57" s="4">
        <v>3</v>
      </c>
      <c r="J57" s="4">
        <v>3</v>
      </c>
      <c r="K57" s="4">
        <v>3</v>
      </c>
      <c r="L57" s="4">
        <v>4</v>
      </c>
      <c r="M57" s="4">
        <v>3</v>
      </c>
      <c r="N57" s="4">
        <v>4</v>
      </c>
      <c r="O57" s="4">
        <v>5</v>
      </c>
      <c r="P57" s="4">
        <v>4</v>
      </c>
      <c r="Q57" s="4">
        <v>4</v>
      </c>
      <c r="R57" s="4">
        <v>5</v>
      </c>
      <c r="S57" s="4">
        <v>4</v>
      </c>
      <c r="T57" s="4">
        <v>5</v>
      </c>
      <c r="U57" s="4">
        <v>5</v>
      </c>
      <c r="V57" s="4">
        <v>4</v>
      </c>
      <c r="W57" s="4">
        <v>5</v>
      </c>
      <c r="X57" s="5">
        <f t="shared" si="12"/>
        <v>5</v>
      </c>
      <c r="Y57" s="5">
        <f t="shared" si="13"/>
        <v>3.2</v>
      </c>
      <c r="Z57" s="5">
        <f t="shared" si="14"/>
        <v>4.4000000000000004</v>
      </c>
      <c r="AA57" s="5">
        <f t="shared" si="15"/>
        <v>4.5999999999999996</v>
      </c>
      <c r="AB57" s="4">
        <f t="shared" si="16"/>
        <v>25</v>
      </c>
      <c r="AC57" s="4">
        <f t="shared" si="17"/>
        <v>16</v>
      </c>
      <c r="AD57" s="4">
        <f t="shared" si="18"/>
        <v>22</v>
      </c>
      <c r="AE57" s="4">
        <f t="shared" si="19"/>
        <v>23</v>
      </c>
      <c r="AF57" s="9">
        <f t="shared" si="20"/>
        <v>25</v>
      </c>
      <c r="AG57" s="9">
        <f t="shared" si="21"/>
        <v>10.240000000000002</v>
      </c>
      <c r="AH57" s="9">
        <f t="shared" si="22"/>
        <v>19.360000000000003</v>
      </c>
      <c r="AI57" s="9">
        <f t="shared" si="23"/>
        <v>21.159999999999997</v>
      </c>
    </row>
    <row r="58" spans="1:35" ht="20" customHeight="1">
      <c r="A58" s="8">
        <v>57</v>
      </c>
      <c r="B58" s="3" t="s">
        <v>29</v>
      </c>
      <c r="C58" s="3" t="s">
        <v>67</v>
      </c>
      <c r="D58" s="4">
        <v>3</v>
      </c>
      <c r="E58" s="4">
        <v>2</v>
      </c>
      <c r="F58" s="4">
        <v>3</v>
      </c>
      <c r="G58" s="4">
        <v>3</v>
      </c>
      <c r="H58" s="4">
        <v>2</v>
      </c>
      <c r="I58" s="4">
        <v>2</v>
      </c>
      <c r="J58" s="4">
        <v>2</v>
      </c>
      <c r="K58" s="4">
        <v>1</v>
      </c>
      <c r="L58" s="4">
        <v>1</v>
      </c>
      <c r="M58" s="4">
        <v>2</v>
      </c>
      <c r="N58" s="4">
        <v>2</v>
      </c>
      <c r="O58" s="4">
        <v>4</v>
      </c>
      <c r="P58" s="4">
        <v>2</v>
      </c>
      <c r="Q58" s="4">
        <v>2</v>
      </c>
      <c r="R58" s="4">
        <v>2</v>
      </c>
      <c r="S58" s="4">
        <v>4</v>
      </c>
      <c r="T58" s="4">
        <v>5</v>
      </c>
      <c r="U58" s="4">
        <v>4</v>
      </c>
      <c r="V58" s="4">
        <v>4</v>
      </c>
      <c r="W58" s="4">
        <v>5</v>
      </c>
      <c r="X58" s="5">
        <f t="shared" si="12"/>
        <v>2.6</v>
      </c>
      <c r="Y58" s="5">
        <f t="shared" si="13"/>
        <v>1.6</v>
      </c>
      <c r="Z58" s="5">
        <f t="shared" si="14"/>
        <v>2.4</v>
      </c>
      <c r="AA58" s="5">
        <f t="shared" si="15"/>
        <v>4.4000000000000004</v>
      </c>
      <c r="AB58" s="4">
        <f t="shared" si="16"/>
        <v>13</v>
      </c>
      <c r="AC58" s="4">
        <f t="shared" si="17"/>
        <v>8</v>
      </c>
      <c r="AD58" s="4">
        <f t="shared" si="18"/>
        <v>12</v>
      </c>
      <c r="AE58" s="4">
        <f t="shared" si="19"/>
        <v>22</v>
      </c>
      <c r="AF58" s="9">
        <f t="shared" si="20"/>
        <v>6.7600000000000007</v>
      </c>
      <c r="AG58" s="9">
        <f t="shared" si="21"/>
        <v>2.5600000000000005</v>
      </c>
      <c r="AH58" s="9">
        <f t="shared" si="22"/>
        <v>5.76</v>
      </c>
      <c r="AI58" s="9">
        <f t="shared" si="23"/>
        <v>19.360000000000003</v>
      </c>
    </row>
    <row r="59" spans="1:35" ht="20" customHeight="1">
      <c r="A59" s="8">
        <v>58</v>
      </c>
      <c r="B59" s="3" t="s">
        <v>31</v>
      </c>
      <c r="C59" s="3" t="s">
        <v>67</v>
      </c>
      <c r="D59" s="4">
        <v>5</v>
      </c>
      <c r="E59" s="4">
        <v>5</v>
      </c>
      <c r="F59" s="4">
        <v>5</v>
      </c>
      <c r="G59" s="4">
        <v>5</v>
      </c>
      <c r="H59" s="4">
        <v>5</v>
      </c>
      <c r="I59" s="4">
        <v>4</v>
      </c>
      <c r="J59" s="4">
        <v>4</v>
      </c>
      <c r="K59" s="4">
        <v>3</v>
      </c>
      <c r="L59" s="4">
        <v>3</v>
      </c>
      <c r="M59" s="4">
        <v>3</v>
      </c>
      <c r="N59" s="4">
        <v>5</v>
      </c>
      <c r="O59" s="4">
        <v>4</v>
      </c>
      <c r="P59" s="4">
        <v>5</v>
      </c>
      <c r="Q59" s="4">
        <v>5</v>
      </c>
      <c r="R59" s="4">
        <v>5</v>
      </c>
      <c r="S59" s="4">
        <v>5</v>
      </c>
      <c r="T59" s="4">
        <v>5</v>
      </c>
      <c r="U59" s="4">
        <v>5</v>
      </c>
      <c r="V59" s="4">
        <v>5</v>
      </c>
      <c r="W59" s="4">
        <v>5</v>
      </c>
      <c r="X59" s="5">
        <f t="shared" si="12"/>
        <v>5</v>
      </c>
      <c r="Y59" s="5">
        <f t="shared" si="13"/>
        <v>3.4</v>
      </c>
      <c r="Z59" s="5">
        <f t="shared" si="14"/>
        <v>4.8</v>
      </c>
      <c r="AA59" s="5">
        <f t="shared" si="15"/>
        <v>5</v>
      </c>
      <c r="AB59" s="4">
        <f t="shared" si="16"/>
        <v>25</v>
      </c>
      <c r="AC59" s="4">
        <f t="shared" si="17"/>
        <v>17</v>
      </c>
      <c r="AD59" s="4">
        <f t="shared" si="18"/>
        <v>24</v>
      </c>
      <c r="AE59" s="4">
        <f t="shared" si="19"/>
        <v>25</v>
      </c>
      <c r="AF59" s="9">
        <f t="shared" si="20"/>
        <v>25</v>
      </c>
      <c r="AG59" s="9">
        <f t="shared" si="21"/>
        <v>11.559999999999999</v>
      </c>
      <c r="AH59" s="9">
        <f t="shared" si="22"/>
        <v>23.04</v>
      </c>
      <c r="AI59" s="9">
        <f t="shared" si="23"/>
        <v>25</v>
      </c>
    </row>
    <row r="60" spans="1:35" ht="20" customHeight="1">
      <c r="A60" s="8">
        <v>59</v>
      </c>
      <c r="B60" s="3" t="s">
        <v>31</v>
      </c>
      <c r="C60" s="3" t="s">
        <v>66</v>
      </c>
      <c r="D60" s="4">
        <v>5</v>
      </c>
      <c r="E60" s="4">
        <v>5</v>
      </c>
      <c r="F60" s="4">
        <v>5</v>
      </c>
      <c r="G60" s="4">
        <v>4</v>
      </c>
      <c r="H60" s="4">
        <v>4</v>
      </c>
      <c r="I60" s="4">
        <v>5</v>
      </c>
      <c r="J60" s="4">
        <v>4</v>
      </c>
      <c r="K60" s="4">
        <v>4</v>
      </c>
      <c r="L60" s="4">
        <v>5</v>
      </c>
      <c r="M60" s="4">
        <v>5</v>
      </c>
      <c r="N60" s="4">
        <v>4</v>
      </c>
      <c r="O60" s="4">
        <v>4</v>
      </c>
      <c r="P60" s="4">
        <v>4</v>
      </c>
      <c r="Q60" s="4">
        <v>4</v>
      </c>
      <c r="R60" s="4">
        <v>4</v>
      </c>
      <c r="S60" s="4">
        <v>5</v>
      </c>
      <c r="T60" s="4">
        <v>5</v>
      </c>
      <c r="U60" s="4">
        <v>5</v>
      </c>
      <c r="V60" s="4">
        <v>4</v>
      </c>
      <c r="W60" s="4">
        <v>4</v>
      </c>
      <c r="X60" s="5">
        <f t="shared" si="12"/>
        <v>4.5999999999999996</v>
      </c>
      <c r="Y60" s="5">
        <f t="shared" si="13"/>
        <v>4.5999999999999996</v>
      </c>
      <c r="Z60" s="5">
        <f t="shared" si="14"/>
        <v>4</v>
      </c>
      <c r="AA60" s="5">
        <f t="shared" si="15"/>
        <v>4.5999999999999996</v>
      </c>
      <c r="AB60" s="4">
        <f t="shared" si="16"/>
        <v>23</v>
      </c>
      <c r="AC60" s="4">
        <f t="shared" si="17"/>
        <v>23</v>
      </c>
      <c r="AD60" s="4">
        <f t="shared" si="18"/>
        <v>20</v>
      </c>
      <c r="AE60" s="4">
        <f t="shared" si="19"/>
        <v>23</v>
      </c>
      <c r="AF60" s="9">
        <f t="shared" si="20"/>
        <v>21.159999999999997</v>
      </c>
      <c r="AG60" s="9">
        <f t="shared" si="21"/>
        <v>21.159999999999997</v>
      </c>
      <c r="AH60" s="9">
        <f t="shared" si="22"/>
        <v>16</v>
      </c>
      <c r="AI60" s="9">
        <f t="shared" si="23"/>
        <v>21.159999999999997</v>
      </c>
    </row>
    <row r="61" spans="1:35" ht="20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20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20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20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</sheetData>
  <phoneticPr fontId="4" type="noConversion"/>
  <dataValidations count="1">
    <dataValidation type="list" sqref="D2:W60" xr:uid="{00000000-0002-0000-0200-000000000000}">
      <formula1>"1,2,3,4,5"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Pre_30</vt:lpstr>
      <vt:lpstr>Post_59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2026-10-16T18:57:50Z</dcterms:modified>
</cp:coreProperties>
</file>